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stle" sheetId="1" r:id="rId5"/>
    <sheet state="visible" name="HUL" sheetId="2" r:id="rId6"/>
    <sheet state="visible" name="Tata Tea" sheetId="3" r:id="rId7"/>
  </sheets>
  <definedNames>
    <definedName hidden="1" localSheetId="1" name="_xlnm._FilterDatabase">HUL!$B$1:$AD$213</definedName>
  </definedNames>
  <calcPr/>
</workbook>
</file>

<file path=xl/sharedStrings.xml><?xml version="1.0" encoding="utf-8"?>
<sst xmlns="http://schemas.openxmlformats.org/spreadsheetml/2006/main" count="566" uniqueCount="311">
  <si>
    <t>SL No</t>
  </si>
  <si>
    <t>Product Name</t>
  </si>
  <si>
    <t>MRP</t>
  </si>
  <si>
    <t>QTY</t>
  </si>
  <si>
    <t>BankiBites Price</t>
  </si>
  <si>
    <t>RLP</t>
  </si>
  <si>
    <t>Scheme</t>
  </si>
  <si>
    <t>Scheme Value</t>
  </si>
  <si>
    <t>Discount</t>
  </si>
  <si>
    <t>Discount Value</t>
  </si>
  <si>
    <t>Durga Price</t>
  </si>
  <si>
    <t>CERELAC STG1 Whe App 24x360g ZS N1 IN</t>
  </si>
  <si>
    <t>CERELAC STG1 Wheat Apple 24x360g WS IN</t>
  </si>
  <si>
    <t>CERELAC STG2 Whe App Chry 24x360gWS N1IN</t>
  </si>
  <si>
    <t>CERELAC STG2 Wheat Orange 24x300g WS IN</t>
  </si>
  <si>
    <t>CERELAC STG2 Whe App Chry 24x360g ZS N1IN</t>
  </si>
  <si>
    <t>CERELAC STG3 WheRi Mix Frt 24x300g ZS IN</t>
  </si>
  <si>
    <t>CERELAC STG3 WheRi Mix Frt 24x300g WS IN</t>
  </si>
  <si>
    <t>CERELAC STA3 Whe Ri MixVeg 24x300g ZS IN</t>
  </si>
  <si>
    <t>CERELAC STG 4 MU Dal Veg 24x300g ZS IN</t>
  </si>
  <si>
    <t>CERELAC STG 4 MU Fruit 24x300g WS N1 IN</t>
  </si>
  <si>
    <t>CERELAC STG5 5 Grain Fruit 24x300g ZS IN</t>
  </si>
  <si>
    <t>CERELAC STG5 5 Grain Veg 24x300g ZS IN</t>
  </si>
  <si>
    <t>CERELAC STG5 5 Grain Fruit 24x300g WS IN</t>
  </si>
  <si>
    <t>LACTOGEN PRO1 BIB 24x400g INNWPB176 IN</t>
  </si>
  <si>
    <t>LACTOGEN PRO2 BIB 24x400g INLEB086 N1 IN</t>
  </si>
  <si>
    <t>LACTOGEN PRO 3 BIB 24x400g INJE087-2 IN</t>
  </si>
  <si>
    <t>LACTOGEN PRO 4 BIB 24x400g INJE091-1 IN</t>
  </si>
  <si>
    <t>NAN PRO 1 IF BIB 24x400g INNWB174 NV IN</t>
  </si>
  <si>
    <t>NAN PRO2 BIB 24x400g INLW070 LS IN</t>
  </si>
  <si>
    <t>NAN PRO 3 BIB 24x400g INJE096-1 LS IN</t>
  </si>
  <si>
    <t>NAN PRO 4 BIB 24x400g INJE097-1 LS IN</t>
  </si>
  <si>
    <t>NANGROW 24x400g JEFB001-2 N1 IN</t>
  </si>
  <si>
    <t>NESTUM STAGE 1 Rice BIB 24x325g IN</t>
  </si>
  <si>
    <t>NESTUM STA2 Rice Vegetables BIB24x325gIN</t>
  </si>
  <si>
    <t>NESTUM STAGE 3 Rice Frt BIB 24x325g IN</t>
  </si>
  <si>
    <t>NESTLE CEREGROW BIB 24x300g WS N8 IN</t>
  </si>
  <si>
    <t>NAN LO-LAC IF BIB 24x200g INNE003 IN</t>
  </si>
  <si>
    <t>KIT KAT 2F MINI 24(42x12.1g) IN</t>
  </si>
  <si>
    <t>KIT KAT 2F 24(30x18.5g)N1 IN</t>
  </si>
  <si>
    <t>KIT KAT 3F 18(28x28.5g) IN</t>
  </si>
  <si>
    <t>KIT KAT 3F Duo 18(28x28.5g) IN</t>
  </si>
  <si>
    <t>KIT KAT 4 Finger 18(21x38.5g)N1 IN</t>
  </si>
  <si>
    <t>KIT KAT 2x3F 18(14x(2x28.5g))N1 IN</t>
  </si>
  <si>
    <t>KIT KAT Gooey Salted Crml 10(6x112g) IN</t>
  </si>
  <si>
    <t>KIT KAT Tablet Dark 12(12x50g)N3 IN</t>
  </si>
  <si>
    <t>KIT KAT Tablet Rich Choc 12(12x50g)N5 IN</t>
  </si>
  <si>
    <t>KIT KAT Tablet Rich Choc 10(6x150g)N5 IN</t>
  </si>
  <si>
    <t>MUNCH Maha 27(32x10.4g) NR IN</t>
  </si>
  <si>
    <t>MUNCH Choco Loops 192x17g IN</t>
  </si>
  <si>
    <t>MUNCH King Size 24(24x17.4g) NR 3 IN</t>
  </si>
  <si>
    <t>MUNCH Maxx 12(24x38.5g) N1 IN</t>
  </si>
  <si>
    <t>MILKYBAR Mould 24(30x12.5g) N1 IN</t>
  </si>
  <si>
    <t>NESTLE CLASSIC 24(28x15g) IN</t>
  </si>
  <si>
    <t>MAGGI 2-MIN NDLS Masala Chain 120x48g IN</t>
  </si>
  <si>
    <t>MAGGI 2-MINN Mas 16x420g PR Rs7 Off IN</t>
  </si>
  <si>
    <t>MAGGI 2-MINN Mas 24x280g PR Rs2 Off IN</t>
  </si>
  <si>
    <t>MAGGI 2-MINN Mas Chain 160x32g IN</t>
  </si>
  <si>
    <t>MAGGI Masala-ae-Magic 16(2(60x6g) N2 IN</t>
  </si>
  <si>
    <t>MAGGI Tom Ket 12x960g PR Ndls 280g IN</t>
  </si>
  <si>
    <t>MAGGI Ntr-lcs Atta 96x55g Rurban RC3 IN</t>
  </si>
  <si>
    <t>MILKMAID Doy Pack 64x190g IN</t>
  </si>
  <si>
    <t>MILKMAID SCM EOE Tin 48x380g N2 IN</t>
  </si>
  <si>
    <t>MAGGI HOT &amp; SWEET 12x1Kg N1 IN</t>
  </si>
  <si>
    <t>NESC Sunrise Sac Stk 30(156x1g)NWNR4 IN</t>
  </si>
  <si>
    <t>NESCAFE Classic Stick 96(144x1g) IN</t>
  </si>
  <si>
    <t>NESCAFE Iced Cappuccino 60x170ml IN</t>
  </si>
  <si>
    <t>NESCAFE Iced Frappe Cnd 60x170ml IN</t>
  </si>
  <si>
    <t>NESCAFE Iced Latte Cnd 60x170ml IN</t>
  </si>
  <si>
    <t>NESCAFE Vietnamese Coffee 30x200ml NR IN</t>
  </si>
  <si>
    <t>NESCAFE Classic Latte Cnd 30x200ml IN</t>
  </si>
  <si>
    <t>NESCAFE Choco Latte Cnd 30x200ml IN</t>
  </si>
  <si>
    <t>NESCAFE CLASSIC Jar 36x24g NR IN</t>
  </si>
  <si>
    <t xml:space="preserve">Category </t>
  </si>
  <si>
    <t>SCHEM VALUE</t>
  </si>
  <si>
    <t>DISCOUNT VALUE</t>
  </si>
  <si>
    <t>DETS</t>
  </si>
  <si>
    <t>RIN FAB WHTNR ALA BOLT 500ML</t>
  </si>
  <si>
    <t>PP</t>
  </si>
  <si>
    <t>CAC HAIR OIL 75M</t>
  </si>
  <si>
    <t>LB LEMON ALOE FRESH 100G B4G1</t>
  </si>
  <si>
    <t>LIFEBUOY ICE BATH SOAP 100G B4G1</t>
  </si>
  <si>
    <t>COMFORT PINK POUCH 2 LTR NEW</t>
  </si>
  <si>
    <t>COMFORT FAB COND BLUE 860ML NEW</t>
  </si>
  <si>
    <t>COMFORT FAB CON PINK 860ML NEW</t>
  </si>
  <si>
    <t>COMFORT FAB CON GREEN 860ML NEW</t>
  </si>
  <si>
    <t>CLOSEUP EF+ TP 150G ROI</t>
  </si>
  <si>
    <t>F&amp;B</t>
  </si>
  <si>
    <t>KISSAN IMLI KHAJOOR CHUTNEY 100 GM DOY</t>
  </si>
  <si>
    <t>KISSAN LEHSUN MIRCH CHUTNEY 100 GM DOY</t>
  </si>
  <si>
    <t>KISSAN LEHSUN MIRCH CHUTNEY 200 GM DOY</t>
  </si>
  <si>
    <t>DV COND DAILY SHINE BIOPRO CARE TUBE75ML</t>
  </si>
  <si>
    <t>PONDS PINK GLOW 30G</t>
  </si>
  <si>
    <t>PONDS MAGIC POWDER 80G</t>
  </si>
  <si>
    <t>PONDS MAGIC POWDR 300G</t>
  </si>
  <si>
    <t>PONDS MGK TAL 400G</t>
  </si>
  <si>
    <t>PONDS DF POWDER 80G</t>
  </si>
  <si>
    <t>PONDS DF POWDER 200G</t>
  </si>
  <si>
    <t>PONDS DF POWDER 300G</t>
  </si>
  <si>
    <t>PONDS STARLT POWDER 40G</t>
  </si>
  <si>
    <t>PONDS SATRLT POWDER 80G</t>
  </si>
  <si>
    <t>PONDS ALOE COOLING POWDER 80G</t>
  </si>
  <si>
    <t>PONDS ALOE COOLING TALC 100G</t>
  </si>
  <si>
    <t>DOVE SERUM BEAUTY BAR 75G</t>
  </si>
  <si>
    <t>DOVE SERUM BAR 100G</t>
  </si>
  <si>
    <t>DOVE PINK SERUM BEAUTY BAR 100G</t>
  </si>
  <si>
    <t>DOVE REFRESHING BW 250ML</t>
  </si>
  <si>
    <t>DOVE GENTLE EXFOLIATING BW 250ML</t>
  </si>
  <si>
    <t>NEW DOVE NOURISHING BODYWASH 300 ML</t>
  </si>
  <si>
    <t>DOVE DAILY SHINE MID SHAMPOO 180ML</t>
  </si>
  <si>
    <t>DOVE INTENSE REPAIR MID SHAMPOO 180ML</t>
  </si>
  <si>
    <t>DOVE DRYNESS CARE MID SHAMPOO 180ML</t>
  </si>
  <si>
    <t>DOVE DAN CARE BIO-PROTEIN CARE SH 180ML</t>
  </si>
  <si>
    <t>DOVE HFR NR SH 180ML</t>
  </si>
  <si>
    <t>SURF XL MTK PWD POLY TL 1KG OFFER S</t>
  </si>
  <si>
    <t>GAL BB CREAM 9G</t>
  </si>
  <si>
    <t>GLOW &amp; HANDSOME 50G FACE CREAM FOR MEN</t>
  </si>
  <si>
    <t>GAL MV FW 50G</t>
  </si>
  <si>
    <t>GLOW &amp; LOVELY VIT C FW 50 G</t>
  </si>
  <si>
    <t>GLOW &amp; LOVELY VIT C FW 100 G</t>
  </si>
  <si>
    <t>GAL AYUR 50G</t>
  </si>
  <si>
    <t>GLOW &amp; HANDSOME 50G FACE WASH FOR MEN</t>
  </si>
  <si>
    <t>GAL MV 80G</t>
  </si>
  <si>
    <t>GAL SPF BRIGHT CREAM 15G</t>
  </si>
  <si>
    <t>GAL LIGHT BRIGHT 23G</t>
  </si>
  <si>
    <t>HELLMANNS MAYO SMOKY TANDOORI 85GM RSL</t>
  </si>
  <si>
    <t>HELLMANNS MAYO ROASTED GARLIC 85GM RSL</t>
  </si>
  <si>
    <t>HELLMANNS MAYONAISE 85GM DOY</t>
  </si>
  <si>
    <t>KSN MXD FRT JAM 200G RL RJP</t>
  </si>
  <si>
    <t>KNORR DARK SOYA SAUCE 200 GM</t>
  </si>
  <si>
    <t>KNORR RED CHILLI SAUCE 200 GM-12M</t>
  </si>
  <si>
    <t>KNORR GREEN CHILLI SAUCE 200 GM-12M</t>
  </si>
  <si>
    <t>KNORR DARK SOYA SAUCE 85G</t>
  </si>
  <si>
    <t>KNORR GREEN CHILLI SAUCE 90G</t>
  </si>
  <si>
    <t>KISSAN LEMON SQUASH 750 ML-9M 2025</t>
  </si>
  <si>
    <t>KISAN FRESH TOMATO KETHUP 500G</t>
  </si>
  <si>
    <t>KISSAN FTK 1KG PRICEDROP-RJP NS</t>
  </si>
  <si>
    <t>LAKME COMPLEXION CARE CREAM BRONZE 9G</t>
  </si>
  <si>
    <t>LAKME COMPLEXION CARE CREAM BEIGE 9G</t>
  </si>
  <si>
    <t>LAKME STRAWBERRY CREAM FW 50G</t>
  </si>
  <si>
    <t>LAKME BLUSH AND GLOW BLUEBERRY FW 50GM</t>
  </si>
  <si>
    <t>LIPTON GRN TULSI NAT 1.3GX10S TB[V]</t>
  </si>
  <si>
    <t>LIPTON GREEN HONEY LEMON 1.4GX10S TB[V]</t>
  </si>
  <si>
    <t>LIPTON GREEN TEA CLR &amp; LIGHT 1.3GX10S TB</t>
  </si>
  <si>
    <t>HFD</t>
  </si>
  <si>
    <t>HORLICKS LITE 450G JAR</t>
  </si>
  <si>
    <t>LAK BAG SB GEL FW 100G</t>
  </si>
  <si>
    <t>LAKME PEACH MILK MOISTURIZER 120ML</t>
  </si>
  <si>
    <t>LAKME PCH MILK SPF24 60ML</t>
  </si>
  <si>
    <t>LAKME PH MK MXM MO 200ML</t>
  </si>
  <si>
    <t>LAKME PCH MILK SPF24 120ML</t>
  </si>
  <si>
    <t>LAKME PCH MILK LT 60M</t>
  </si>
  <si>
    <t>LAK PH MK SOFT CRM 100G</t>
  </si>
  <si>
    <t>LAK PH MK SOFT CRM 50G</t>
  </si>
  <si>
    <t>LAKME PCH MILK LT 120ML</t>
  </si>
  <si>
    <t>LAKME PEACH ULTRA GEL- 25G</t>
  </si>
  <si>
    <t>LAKME PERFECT RAD SKIN BRIGHT FW 50G</t>
  </si>
  <si>
    <t>LIRIL LIME BATHING BAR 125GX4 - G</t>
  </si>
  <si>
    <t>LK9-5 SUNEXSUPERMATTE SNSRN SPF50 50GM</t>
  </si>
  <si>
    <t>LK9-5 SUNEXSUPERMATTE SNSRN SPF50 18GM</t>
  </si>
  <si>
    <t>LK9-5 SUNEX GELLIGHTSUNSCREEN SPF50 50GM</t>
  </si>
  <si>
    <t>LAKME SUN EXPERT GEL SPF50 50G</t>
  </si>
  <si>
    <t>LUX ADVANCED RADIANT GLOW 100G B3G1</t>
  </si>
  <si>
    <t>LUX ORCHID OBSESSION BW 245ML</t>
  </si>
  <si>
    <t>LUX ADVANCED CLEAR GLOW 4X100G</t>
  </si>
  <si>
    <t>LAKME BLUSH&amp;GLOW STRAWBERRYFACEWASH50G</t>
  </si>
  <si>
    <t>LAKME PEACH MILK INTENSE 60ML</t>
  </si>
  <si>
    <t>LAKME PEACH MILK INTENSE 120 ML</t>
  </si>
  <si>
    <t>LUX ADVANCED ULTIMATE GLOW + 100G B3G1</t>
  </si>
  <si>
    <t>LK SUN EPT FAIRN SNSCN LOT SPF24PA++60ML</t>
  </si>
  <si>
    <t>SURF EXCEL BAR MPK 4X200G</t>
  </si>
  <si>
    <t>PEP GC ACTIONS 200G</t>
  </si>
  <si>
    <t>PEP GC ACTIONS 100G</t>
  </si>
  <si>
    <t>PONDS MOISTURISING COLD CRM RL 30ML POFF</t>
  </si>
  <si>
    <t>PONDS MOISTURISING COLD CRM RL 55ML POFF</t>
  </si>
  <si>
    <t>PONDS LGT MOIST 75ML</t>
  </si>
  <si>
    <t>PONDS LGT MOIST 50ML</t>
  </si>
  <si>
    <t>PONDS LGT MOIST 100ML</t>
  </si>
  <si>
    <t>PONDS LGT MOIST 25ML</t>
  </si>
  <si>
    <t>PONDS AG MR WR CR DY CR SPF15 PA++ 20GM</t>
  </si>
  <si>
    <t>PDS SNSCN CRM SF35 15G</t>
  </si>
  <si>
    <t>PDS SNSCN CRM SF35 50G</t>
  </si>
  <si>
    <t>PONDS ROSE BODY LOTION 100 ML</t>
  </si>
  <si>
    <t>PONDS PURE DETOX FW 50G</t>
  </si>
  <si>
    <t>PONDS PURE DETOX FW 100G</t>
  </si>
  <si>
    <t>POND?S BRIGHT BEAUTY FW 100G</t>
  </si>
  <si>
    <t>PNDS HYMR CLD CRM 55ML</t>
  </si>
  <si>
    <t>PEARS GLYCERIN BW PURE &amp; GENTLE 250ML</t>
  </si>
  <si>
    <t>PNDS HY MR SUP LT GL 25ML</t>
  </si>
  <si>
    <t>PNDS HY MR SUP LT GL 50ML</t>
  </si>
  <si>
    <t>PONDS SANDAL POWDER 40G</t>
  </si>
  <si>
    <t>PONDS SANDAL POWDER 80G</t>
  </si>
  <si>
    <t>PONDS SANDAL POWDER 300G</t>
  </si>
  <si>
    <t>PNDS BTY ULT CLARITY 50 G</t>
  </si>
  <si>
    <t>RED LABEL LEAF [A][P] 250G</t>
  </si>
  <si>
    <t>RED LABEL DUST ODISHA [P] 250GM</t>
  </si>
  <si>
    <t>RL NC A [C] 250G - 4 PANEL</t>
  </si>
  <si>
    <t>RL NC [C] 100G 4 PANEL</t>
  </si>
  <si>
    <t>RAB SAPPHIRE FW 250G</t>
  </si>
  <si>
    <t>SURF EXCEL MATIC LQD BVI POUCH TL 1.8KG</t>
  </si>
  <si>
    <t>SURF EXCEL EASYWASH DETERGNT LIQUID 1LTR</t>
  </si>
  <si>
    <t>SURF EXCEL E.WASH DETERGENT LIQUID 500ML</t>
  </si>
  <si>
    <t>SURF XL MTC LIQ TL 1KG POUCH NS</t>
  </si>
  <si>
    <t>SUNSILK LT&amp;L SHP 180M</t>
  </si>
  <si>
    <t>SUNSILK NOURISH S&amp;S SH 80ML</t>
  </si>
  <si>
    <t>SUNSILK T&amp;L SHAMPOO 80ML</t>
  </si>
  <si>
    <t>SUNSILK T&amp;L SHAMPOO 180ML</t>
  </si>
  <si>
    <t>SUNSILK SUPER SHINE SERUM 20ML</t>
  </si>
  <si>
    <t>KISSAN SWEET &amp; SPICY SAUCE 200G</t>
  </si>
  <si>
    <t>KISSAN SWEET&amp;SPICY 425 GM DOY</t>
  </si>
  <si>
    <t>KSN FTK DOY PACK 825 GM NS</t>
  </si>
  <si>
    <t>TRES KT STH CONDR 190ML</t>
  </si>
  <si>
    <t>TRESEMME HF DEFENSE CONDR 80ML</t>
  </si>
  <si>
    <t>TRES KERATIN SMOOTH CONDR 80ML</t>
  </si>
  <si>
    <t>TRESEMME HF DEFENSE +CONDR 80ML</t>
  </si>
  <si>
    <t>TRESEMME KERATIN SMOOTH SERUM 25ML</t>
  </si>
  <si>
    <t>TRESEMME SMOOTH &amp;SH SHAMPOO 85ML</t>
  </si>
  <si>
    <t>TRESEMME CLIMATE PROTECTION SHAMPOO 185M</t>
  </si>
  <si>
    <t>TRESEMME HAIR FALL DEFENSE SHAMPOO185ML</t>
  </si>
  <si>
    <t>TRESEMME KERATIN SMOOTH+ SH 36X180ML</t>
  </si>
  <si>
    <t>TRESEMME SMOOTH SHINE+ 180ML SHAMPOO</t>
  </si>
  <si>
    <t>TRESEMME HAIRFALL DEFENSE180ML SHAMPOO</t>
  </si>
  <si>
    <t>TRESEMME HAIRFALL DEFENSE 85MLSHAMPOO</t>
  </si>
  <si>
    <t>TRESEMME THICK&amp;FULL SHAMPOO 80ML</t>
  </si>
  <si>
    <t>TRESEMME THICK&amp;FULL SHAMPOO 180ML</t>
  </si>
  <si>
    <t>TAAZA LF 250G PILLOWPACK</t>
  </si>
  <si>
    <t>TAAZA LF 250G POLY NEC PD</t>
  </si>
  <si>
    <t>TAAZA LEAF ELAICHI 250G POLY</t>
  </si>
  <si>
    <t>TAAZA LEAF ELAICHI 100G POLY</t>
  </si>
  <si>
    <t>TAAZA LF 250G POLY PRICE DROP</t>
  </si>
  <si>
    <t>TAAZA MASALACHASKA ELAICHI100G[P]PD</t>
  </si>
  <si>
    <t>VAS DEEP MOISTURE LOTION S 40ML</t>
  </si>
  <si>
    <t>VAS DEEP MOISTURE LOTION N 85ML</t>
  </si>
  <si>
    <t>VSL COCOA GLOW LT 400ML</t>
  </si>
  <si>
    <t>VSL COCOA GLOW LT 90ML</t>
  </si>
  <si>
    <t>VAS FACE MOSIT 25ML</t>
  </si>
  <si>
    <t>VIM BAR FW 300G</t>
  </si>
  <si>
    <t>VIM BAR TUB AS 500G</t>
  </si>
  <si>
    <t>VIM LIQUID BOTTLE 1.8LTR</t>
  </si>
  <si>
    <t>VIM DROP DISH WASH POUCH 500 ML</t>
  </si>
  <si>
    <t>VIM SPOUTED POUCH 480 ML TJ</t>
  </si>
  <si>
    <t>VIM LQD POUCH 900MLSPOUTED</t>
  </si>
  <si>
    <t>VIM GEL SHUDHHAM 100ML</t>
  </si>
  <si>
    <t>VIM LIQ POUCH 2LTR SPOUTED</t>
  </si>
  <si>
    <t>VIM BAR TUB 480G WITH NKED SCRUB PD</t>
  </si>
  <si>
    <t>VIM ANTI SMELL BAR MPK 5X190G NEW AW</t>
  </si>
  <si>
    <t>VIM ANTI BAC BAR MPK 5X190G NEW AW</t>
  </si>
  <si>
    <t>VASELINE LIP CR TM 10G</t>
  </si>
  <si>
    <t>VASELINE LIP CR RL 10G</t>
  </si>
  <si>
    <t>V WASH 20ML</t>
  </si>
  <si>
    <t>JR. HLX VAN 500GM BIB</t>
  </si>
  <si>
    <t>HORLICKS LITE BADAM 450G BIB</t>
  </si>
  <si>
    <t>WOMEN HORLICKS 400G BIB CARAMEL</t>
  </si>
  <si>
    <t>WOMEN HORLICKS 400G BIB CHOCLATE</t>
  </si>
  <si>
    <t>HLX BADAM LITE 450G CS POUCH</t>
  </si>
  <si>
    <t>WOMEN HORLICKS 400GBIB CHOCOLATE</t>
  </si>
  <si>
    <t>WOMEN HORLICKS 400G ICON JAR CARAMEL</t>
  </si>
  <si>
    <t>WOMEN HORLICKS 400G ICON JAR CHOCLATE</t>
  </si>
  <si>
    <t>JUNIOR HLX VANILLA 500G ICON JAR</t>
  </si>
  <si>
    <t>JUNIOR HLX CHOCOLATE 500G ICON JAR</t>
  </si>
  <si>
    <t>STD. HORLICKS ICON JAR 500G EAST</t>
  </si>
  <si>
    <t>STD. HORLICKS ICON JAR 1KG EAST</t>
  </si>
  <si>
    <t>MOTHERS HLX KESAR 400G BIB</t>
  </si>
  <si>
    <t>CHOCOLATE HLX 500G BIB UMOD</t>
  </si>
  <si>
    <t>STD HORLICKS 1KG CS POUCH EAST</t>
  </si>
  <si>
    <t>JR HLX VANILLA 450GM CS POUCH</t>
  </si>
  <si>
    <t>STD HORLICKS 500G CS POUCH LEO</t>
  </si>
  <si>
    <t>WHEEL L&amp;O PWDR A+ 2KG NILE</t>
  </si>
  <si>
    <t>VPJ 85G</t>
  </si>
  <si>
    <t>VPJ 20G</t>
  </si>
  <si>
    <t>VPJ 40G</t>
  </si>
  <si>
    <t>VDM LOTION 400ML WITH PSLG 50ML</t>
  </si>
  <si>
    <t>TAAZA LF 250G POLYPD BCU</t>
  </si>
  <si>
    <t>TATA SALT PACKED 25 X 1 KG (MRP32)</t>
  </si>
  <si>
    <t>TATA SALT Sendha+ 12X1 KG</t>
  </si>
  <si>
    <t>TTAgni Lf Extra Josh 225g MF PP-AL02</t>
  </si>
  <si>
    <t>CHANA DAL 25 x 1Kg</t>
  </si>
  <si>
    <t>OI Jaggery Powder 1Kg</t>
  </si>
  <si>
    <t>OI Jaggery Powder 500g</t>
  </si>
  <si>
    <t>TTAgni Lf 1 kg PP- STGP-AL01-MF</t>
  </si>
  <si>
    <t>Ching's Schezwan Chutney 360x 30 gm</t>
  </si>
  <si>
    <t>Tata Tea Pr Dust 50gm Polypack Cuttack</t>
  </si>
  <si>
    <t>TATA SALT PACKED 50 X 1 KG (MRP32)</t>
  </si>
  <si>
    <t>Ching's Red Chilli Sauce 48 x 90 gm</t>
  </si>
  <si>
    <t>Ching's Dark Soy Sauce 48 x 90 gm</t>
  </si>
  <si>
    <t>Tata Tea Pr Dust 250gm Polypack Cuttack</t>
  </si>
  <si>
    <t>Tata Gold Leaf 250gm Cathedral Pack</t>
  </si>
  <si>
    <t>TATA TEA BUFF DUST 1 KG - OR01-MF</t>
  </si>
  <si>
    <t>S&amp;J Tomato Ketchup 48X95Gm(15)</t>
  </si>
  <si>
    <t>OI Desi Khandsari Sugar 500G</t>
  </si>
  <si>
    <t>TTAgni Lf 500g PP-STGP-AL01-MF</t>
  </si>
  <si>
    <t>S&amp;J Ginger Garlic Paste 200g New</t>
  </si>
  <si>
    <t>OI Pink Rock Salt 1kg Pack</t>
  </si>
  <si>
    <t>Toor Dal 25 x 1Kg</t>
  </si>
  <si>
    <t>TTAgni Lf 1 kg PP- STGP-AL04-MF</t>
  </si>
  <si>
    <t>Tata Tea Pr Dust 500gm Polypack Cutack</t>
  </si>
  <si>
    <t>Tata Coffee All in 1 Premix 16g Sachet</t>
  </si>
  <si>
    <t>BESAN GARGARA 20 x 500G (7 MONTHS)</t>
  </si>
  <si>
    <t>MOONG DAL 25 x 1Kg</t>
  </si>
  <si>
    <t>Tata Tea Pr Lf 250g PP-OR-Spcl pr</t>
  </si>
  <si>
    <t>Tata Sampann POHA (Thick) ROI-40 X 500g</t>
  </si>
  <si>
    <t>Ching's Instant SweetCorn Soup 240X13 gm</t>
  </si>
  <si>
    <t>Ching's Manchurian Noodles 36 x 240 gm</t>
  </si>
  <si>
    <t>TATA HIMALAYAN ROCK SALT 18x1KG Bag</t>
  </si>
  <si>
    <t>TATA LITE SALT PACKED 25 X 1 KG (NEW)</t>
  </si>
  <si>
    <t>Ching's Instant Mix Veg Soup 240X14 gm</t>
  </si>
  <si>
    <t>Ching's Instant Manchow Soup 240X14 gm</t>
  </si>
  <si>
    <t>Ching's Instant SweetCorn Soup 240X15 gm</t>
  </si>
  <si>
    <t>Ching's Instant Hot&amp;Sour Soup 240X14 gm</t>
  </si>
  <si>
    <t>Ching's Ins.Tomato Soup Crouton 240X16gm</t>
  </si>
  <si>
    <t>Swwzwan Chutny 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</si>
</sst>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theme="1"/>
      <name val="Calibri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10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readingOrder="0" shrinkToFit="0" wrapText="0"/>
    </xf>
    <xf borderId="1" fillId="0" fontId="3" numFmtId="10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Border="1" applyFont="1"/>
    <xf borderId="0" fillId="0" fontId="4" numFmtId="10" xfId="0" applyAlignment="1" applyFont="1" applyNumberFormat="1">
      <alignment horizontal="center"/>
    </xf>
    <xf borderId="0" fillId="0" fontId="5" numFmtId="0" xfId="0" applyFont="1"/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9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readingOrder="0"/>
    </xf>
    <xf borderId="1" fillId="0" fontId="5" numFmtId="10" xfId="0" applyAlignment="1" applyBorder="1" applyFont="1" applyNumberFormat="1">
      <alignment readingOrder="0"/>
    </xf>
    <xf borderId="1" fillId="0" fontId="5" numFmtId="4" xfId="0" applyBorder="1" applyFont="1" applyNumberFormat="1"/>
    <xf borderId="1" fillId="0" fontId="5" numFmtId="2" xfId="0" applyBorder="1" applyFont="1" applyNumberFormat="1"/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/>
    </xf>
    <xf borderId="1" fillId="0" fontId="4" numFmtId="10" xfId="0" applyBorder="1" applyFont="1" applyNumberFormat="1"/>
    <xf borderId="1" fillId="0" fontId="4" numFmtId="10" xfId="0" applyAlignment="1" applyBorder="1" applyFont="1" applyNumberFormat="1">
      <alignment readingOrder="0"/>
    </xf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36.13"/>
    <col customWidth="1" min="4" max="4" width="8.88"/>
    <col customWidth="1" min="5" max="5" width="14.75"/>
    <col hidden="1" min="8" max="8" width="12.63"/>
    <col hidden="1" min="10" max="10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5">
        <v>1001.0</v>
      </c>
      <c r="B2" s="5" t="s">
        <v>11</v>
      </c>
      <c r="C2" s="6">
        <v>280.0</v>
      </c>
      <c r="D2" s="6">
        <v>0.0</v>
      </c>
      <c r="E2" s="7">
        <f t="shared" ref="E2:E28" si="1">C2</f>
        <v>280</v>
      </c>
      <c r="F2" s="6">
        <f t="shared" ref="F2:F28" si="2">C2/1.09</f>
        <v>256.8807339</v>
      </c>
      <c r="G2" s="8">
        <v>0.0</v>
      </c>
      <c r="H2" s="7">
        <f t="shared" ref="H2:H65" si="3">F2*G2</f>
        <v>0</v>
      </c>
      <c r="I2" s="8">
        <v>0.035</v>
      </c>
      <c r="J2" s="9">
        <f t="shared" ref="J2:J65" si="4">(F2-H2)*I2</f>
        <v>8.990825688</v>
      </c>
      <c r="K2" s="9">
        <f t="shared" ref="K2:K65" si="5">F2-H2-J2</f>
        <v>247.8899083</v>
      </c>
    </row>
    <row r="3">
      <c r="A3" s="5">
        <v>1002.0</v>
      </c>
      <c r="B3" s="5" t="s">
        <v>12</v>
      </c>
      <c r="C3" s="6">
        <v>280.0</v>
      </c>
      <c r="D3" s="6">
        <v>0.0</v>
      </c>
      <c r="E3" s="7">
        <f t="shared" si="1"/>
        <v>280</v>
      </c>
      <c r="F3" s="6">
        <f t="shared" si="2"/>
        <v>256.8807339</v>
      </c>
      <c r="G3" s="8">
        <v>0.0</v>
      </c>
      <c r="H3" s="7">
        <f t="shared" si="3"/>
        <v>0</v>
      </c>
      <c r="I3" s="8">
        <v>0.035</v>
      </c>
      <c r="J3" s="9">
        <f t="shared" si="4"/>
        <v>8.990825688</v>
      </c>
      <c r="K3" s="9">
        <f t="shared" si="5"/>
        <v>247.8899083</v>
      </c>
    </row>
    <row r="4">
      <c r="A4" s="5">
        <v>1003.0</v>
      </c>
      <c r="B4" s="5" t="s">
        <v>13</v>
      </c>
      <c r="C4" s="6">
        <v>299.0</v>
      </c>
      <c r="D4" s="6">
        <v>0.0</v>
      </c>
      <c r="E4" s="7">
        <f t="shared" si="1"/>
        <v>299</v>
      </c>
      <c r="F4" s="6">
        <f t="shared" si="2"/>
        <v>274.3119266</v>
      </c>
      <c r="G4" s="8">
        <v>0.0</v>
      </c>
      <c r="H4" s="7">
        <f t="shared" si="3"/>
        <v>0</v>
      </c>
      <c r="I4" s="8">
        <v>0.035</v>
      </c>
      <c r="J4" s="9">
        <f t="shared" si="4"/>
        <v>9.600917431</v>
      </c>
      <c r="K4" s="9">
        <f t="shared" si="5"/>
        <v>264.7110092</v>
      </c>
    </row>
    <row r="5">
      <c r="A5" s="5">
        <v>1004.0</v>
      </c>
      <c r="B5" s="5" t="s">
        <v>14</v>
      </c>
      <c r="C5" s="6">
        <v>299.0</v>
      </c>
      <c r="D5" s="6">
        <v>0.0</v>
      </c>
      <c r="E5" s="7">
        <f t="shared" si="1"/>
        <v>299</v>
      </c>
      <c r="F5" s="6">
        <f t="shared" si="2"/>
        <v>274.3119266</v>
      </c>
      <c r="G5" s="8">
        <v>0.0</v>
      </c>
      <c r="H5" s="7">
        <f t="shared" si="3"/>
        <v>0</v>
      </c>
      <c r="I5" s="8">
        <v>0.035</v>
      </c>
      <c r="J5" s="9">
        <f t="shared" si="4"/>
        <v>9.600917431</v>
      </c>
      <c r="K5" s="9">
        <f t="shared" si="5"/>
        <v>264.7110092</v>
      </c>
    </row>
    <row r="6">
      <c r="A6" s="5">
        <v>1005.0</v>
      </c>
      <c r="B6" s="5" t="s">
        <v>15</v>
      </c>
      <c r="C6" s="6">
        <v>299.0</v>
      </c>
      <c r="D6" s="6">
        <v>0.0</v>
      </c>
      <c r="E6" s="7">
        <f t="shared" si="1"/>
        <v>299</v>
      </c>
      <c r="F6" s="6">
        <f t="shared" si="2"/>
        <v>274.3119266</v>
      </c>
      <c r="G6" s="8">
        <v>0.0</v>
      </c>
      <c r="H6" s="7">
        <f t="shared" si="3"/>
        <v>0</v>
      </c>
      <c r="I6" s="8">
        <v>0.035</v>
      </c>
      <c r="J6" s="9">
        <f t="shared" si="4"/>
        <v>9.600917431</v>
      </c>
      <c r="K6" s="9">
        <f t="shared" si="5"/>
        <v>264.7110092</v>
      </c>
    </row>
    <row r="7">
      <c r="A7" s="5">
        <v>1006.0</v>
      </c>
      <c r="B7" s="5" t="s">
        <v>16</v>
      </c>
      <c r="C7" s="6">
        <v>290.0</v>
      </c>
      <c r="D7" s="6">
        <v>0.0</v>
      </c>
      <c r="E7" s="7">
        <f t="shared" si="1"/>
        <v>290</v>
      </c>
      <c r="F7" s="6">
        <f t="shared" si="2"/>
        <v>266.0550459</v>
      </c>
      <c r="G7" s="8">
        <v>0.0</v>
      </c>
      <c r="H7" s="7">
        <f t="shared" si="3"/>
        <v>0</v>
      </c>
      <c r="I7" s="8">
        <v>0.035</v>
      </c>
      <c r="J7" s="9">
        <f t="shared" si="4"/>
        <v>9.311926606</v>
      </c>
      <c r="K7" s="9">
        <f t="shared" si="5"/>
        <v>256.7431193</v>
      </c>
    </row>
    <row r="8">
      <c r="A8" s="5">
        <v>1007.0</v>
      </c>
      <c r="B8" s="5" t="s">
        <v>17</v>
      </c>
      <c r="C8" s="6">
        <v>290.0</v>
      </c>
      <c r="D8" s="6">
        <v>0.0</v>
      </c>
      <c r="E8" s="7">
        <f t="shared" si="1"/>
        <v>290</v>
      </c>
      <c r="F8" s="6">
        <f t="shared" si="2"/>
        <v>266.0550459</v>
      </c>
      <c r="G8" s="8">
        <v>0.0</v>
      </c>
      <c r="H8" s="7">
        <f t="shared" si="3"/>
        <v>0</v>
      </c>
      <c r="I8" s="8">
        <v>0.035</v>
      </c>
      <c r="J8" s="9">
        <f t="shared" si="4"/>
        <v>9.311926606</v>
      </c>
      <c r="K8" s="9">
        <f t="shared" si="5"/>
        <v>256.7431193</v>
      </c>
    </row>
    <row r="9">
      <c r="A9" s="5">
        <v>1008.0</v>
      </c>
      <c r="B9" s="5" t="s">
        <v>18</v>
      </c>
      <c r="C9" s="6">
        <v>290.0</v>
      </c>
      <c r="D9" s="6">
        <v>0.0</v>
      </c>
      <c r="E9" s="7">
        <f t="shared" si="1"/>
        <v>290</v>
      </c>
      <c r="F9" s="6">
        <f t="shared" si="2"/>
        <v>266.0550459</v>
      </c>
      <c r="G9" s="8">
        <v>0.0</v>
      </c>
      <c r="H9" s="7">
        <f t="shared" si="3"/>
        <v>0</v>
      </c>
      <c r="I9" s="8">
        <v>0.035</v>
      </c>
      <c r="J9" s="9">
        <f t="shared" si="4"/>
        <v>9.311926606</v>
      </c>
      <c r="K9" s="9">
        <f t="shared" si="5"/>
        <v>256.7431193</v>
      </c>
    </row>
    <row r="10">
      <c r="A10" s="5">
        <v>1009.0</v>
      </c>
      <c r="B10" s="5" t="s">
        <v>19</v>
      </c>
      <c r="C10" s="6">
        <v>295.0</v>
      </c>
      <c r="D10" s="6">
        <v>0.0</v>
      </c>
      <c r="E10" s="7">
        <f t="shared" si="1"/>
        <v>295</v>
      </c>
      <c r="F10" s="6">
        <f t="shared" si="2"/>
        <v>270.6422018</v>
      </c>
      <c r="G10" s="8">
        <v>0.0</v>
      </c>
      <c r="H10" s="7">
        <f t="shared" si="3"/>
        <v>0</v>
      </c>
      <c r="I10" s="8">
        <v>0.035</v>
      </c>
      <c r="J10" s="9">
        <f t="shared" si="4"/>
        <v>9.472477064</v>
      </c>
      <c r="K10" s="9">
        <f t="shared" si="5"/>
        <v>261.1697248</v>
      </c>
    </row>
    <row r="11">
      <c r="A11" s="5">
        <v>1010.0</v>
      </c>
      <c r="B11" s="5" t="s">
        <v>20</v>
      </c>
      <c r="C11" s="6">
        <v>295.0</v>
      </c>
      <c r="D11" s="6">
        <v>0.0</v>
      </c>
      <c r="E11" s="7">
        <f t="shared" si="1"/>
        <v>295</v>
      </c>
      <c r="F11" s="6">
        <f t="shared" si="2"/>
        <v>270.6422018</v>
      </c>
      <c r="G11" s="8">
        <v>0.0</v>
      </c>
      <c r="H11" s="7">
        <f t="shared" si="3"/>
        <v>0</v>
      </c>
      <c r="I11" s="8">
        <v>0.035</v>
      </c>
      <c r="J11" s="9">
        <f t="shared" si="4"/>
        <v>9.472477064</v>
      </c>
      <c r="K11" s="9">
        <f t="shared" si="5"/>
        <v>261.1697248</v>
      </c>
    </row>
    <row r="12">
      <c r="A12" s="5">
        <v>1011.0</v>
      </c>
      <c r="B12" s="5" t="s">
        <v>21</v>
      </c>
      <c r="C12" s="6">
        <v>299.0</v>
      </c>
      <c r="D12" s="6">
        <v>0.0</v>
      </c>
      <c r="E12" s="7">
        <f t="shared" si="1"/>
        <v>299</v>
      </c>
      <c r="F12" s="6">
        <f t="shared" si="2"/>
        <v>274.3119266</v>
      </c>
      <c r="G12" s="8">
        <v>0.0</v>
      </c>
      <c r="H12" s="7">
        <f t="shared" si="3"/>
        <v>0</v>
      </c>
      <c r="I12" s="8">
        <v>0.035</v>
      </c>
      <c r="J12" s="9">
        <f t="shared" si="4"/>
        <v>9.600917431</v>
      </c>
      <c r="K12" s="9">
        <f t="shared" si="5"/>
        <v>264.7110092</v>
      </c>
    </row>
    <row r="13">
      <c r="A13" s="5">
        <v>1012.0</v>
      </c>
      <c r="B13" s="5" t="s">
        <v>22</v>
      </c>
      <c r="C13" s="6">
        <v>299.0</v>
      </c>
      <c r="D13" s="6">
        <v>0.0</v>
      </c>
      <c r="E13" s="7">
        <f t="shared" si="1"/>
        <v>299</v>
      </c>
      <c r="F13" s="6">
        <f t="shared" si="2"/>
        <v>274.3119266</v>
      </c>
      <c r="G13" s="8">
        <v>0.0</v>
      </c>
      <c r="H13" s="7">
        <f t="shared" si="3"/>
        <v>0</v>
      </c>
      <c r="I13" s="8">
        <v>0.035</v>
      </c>
      <c r="J13" s="9">
        <f t="shared" si="4"/>
        <v>9.600917431</v>
      </c>
      <c r="K13" s="9">
        <f t="shared" si="5"/>
        <v>264.7110092</v>
      </c>
    </row>
    <row r="14">
      <c r="A14" s="5">
        <v>1013.0</v>
      </c>
      <c r="B14" s="5" t="s">
        <v>23</v>
      </c>
      <c r="C14" s="6">
        <v>299.0</v>
      </c>
      <c r="D14" s="6">
        <v>0.0</v>
      </c>
      <c r="E14" s="7">
        <f t="shared" si="1"/>
        <v>299</v>
      </c>
      <c r="F14" s="6">
        <f t="shared" si="2"/>
        <v>274.3119266</v>
      </c>
      <c r="G14" s="8">
        <v>0.0</v>
      </c>
      <c r="H14" s="7">
        <f t="shared" si="3"/>
        <v>0</v>
      </c>
      <c r="I14" s="8">
        <v>0.035</v>
      </c>
      <c r="J14" s="9">
        <f t="shared" si="4"/>
        <v>9.600917431</v>
      </c>
      <c r="K14" s="9">
        <f t="shared" si="5"/>
        <v>264.7110092</v>
      </c>
    </row>
    <row r="15">
      <c r="A15" s="5">
        <v>1014.0</v>
      </c>
      <c r="B15" s="5" t="s">
        <v>24</v>
      </c>
      <c r="C15" s="6">
        <v>460.0</v>
      </c>
      <c r="D15" s="6">
        <v>0.0</v>
      </c>
      <c r="E15" s="7">
        <f t="shared" si="1"/>
        <v>460</v>
      </c>
      <c r="F15" s="6">
        <f t="shared" si="2"/>
        <v>422.0183486</v>
      </c>
      <c r="G15" s="8">
        <v>0.0</v>
      </c>
      <c r="H15" s="7">
        <f t="shared" si="3"/>
        <v>0</v>
      </c>
      <c r="I15" s="8">
        <v>0.035</v>
      </c>
      <c r="J15" s="9">
        <f t="shared" si="4"/>
        <v>14.7706422</v>
      </c>
      <c r="K15" s="9">
        <f t="shared" si="5"/>
        <v>407.2477064</v>
      </c>
    </row>
    <row r="16">
      <c r="A16" s="5">
        <v>1015.0</v>
      </c>
      <c r="B16" s="5" t="s">
        <v>25</v>
      </c>
      <c r="C16" s="6">
        <v>460.0</v>
      </c>
      <c r="D16" s="6">
        <v>0.0</v>
      </c>
      <c r="E16" s="7">
        <f t="shared" si="1"/>
        <v>460</v>
      </c>
      <c r="F16" s="6">
        <f t="shared" si="2"/>
        <v>422.0183486</v>
      </c>
      <c r="G16" s="8">
        <v>0.0</v>
      </c>
      <c r="H16" s="7">
        <f t="shared" si="3"/>
        <v>0</v>
      </c>
      <c r="I16" s="8">
        <v>0.035</v>
      </c>
      <c r="J16" s="9">
        <f t="shared" si="4"/>
        <v>14.7706422</v>
      </c>
      <c r="K16" s="9">
        <f t="shared" si="5"/>
        <v>407.2477064</v>
      </c>
    </row>
    <row r="17">
      <c r="A17" s="5">
        <v>1016.0</v>
      </c>
      <c r="B17" s="5" t="s">
        <v>26</v>
      </c>
      <c r="C17" s="6">
        <v>450.0</v>
      </c>
      <c r="D17" s="6">
        <v>0.0</v>
      </c>
      <c r="E17" s="7">
        <f t="shared" si="1"/>
        <v>450</v>
      </c>
      <c r="F17" s="6">
        <f t="shared" si="2"/>
        <v>412.8440367</v>
      </c>
      <c r="G17" s="8">
        <v>0.0</v>
      </c>
      <c r="H17" s="7">
        <f t="shared" si="3"/>
        <v>0</v>
      </c>
      <c r="I17" s="8">
        <v>0.035</v>
      </c>
      <c r="J17" s="9">
        <f t="shared" si="4"/>
        <v>14.44954128</v>
      </c>
      <c r="K17" s="9">
        <f t="shared" si="5"/>
        <v>398.3944954</v>
      </c>
    </row>
    <row r="18">
      <c r="A18" s="5">
        <v>1017.0</v>
      </c>
      <c r="B18" s="5" t="s">
        <v>27</v>
      </c>
      <c r="C18" s="6">
        <v>450.0</v>
      </c>
      <c r="D18" s="6">
        <v>0.0</v>
      </c>
      <c r="E18" s="7">
        <f t="shared" si="1"/>
        <v>450</v>
      </c>
      <c r="F18" s="6">
        <f t="shared" si="2"/>
        <v>412.8440367</v>
      </c>
      <c r="G18" s="8">
        <v>0.0</v>
      </c>
      <c r="H18" s="7">
        <f t="shared" si="3"/>
        <v>0</v>
      </c>
      <c r="I18" s="8">
        <v>0.035</v>
      </c>
      <c r="J18" s="9">
        <f t="shared" si="4"/>
        <v>14.44954128</v>
      </c>
      <c r="K18" s="9">
        <f t="shared" si="5"/>
        <v>398.3944954</v>
      </c>
    </row>
    <row r="19">
      <c r="A19" s="5">
        <v>1018.0</v>
      </c>
      <c r="B19" s="5" t="s">
        <v>28</v>
      </c>
      <c r="C19" s="6">
        <v>775.0</v>
      </c>
      <c r="D19" s="6">
        <v>0.0</v>
      </c>
      <c r="E19" s="7">
        <f t="shared" si="1"/>
        <v>775</v>
      </c>
      <c r="F19" s="6">
        <f t="shared" si="2"/>
        <v>711.0091743</v>
      </c>
      <c r="G19" s="8">
        <v>0.0</v>
      </c>
      <c r="H19" s="7">
        <f t="shared" si="3"/>
        <v>0</v>
      </c>
      <c r="I19" s="8">
        <v>0.035</v>
      </c>
      <c r="J19" s="9">
        <f t="shared" si="4"/>
        <v>24.8853211</v>
      </c>
      <c r="K19" s="9">
        <f t="shared" si="5"/>
        <v>686.1238532</v>
      </c>
    </row>
    <row r="20">
      <c r="A20" s="5">
        <v>1019.0</v>
      </c>
      <c r="B20" s="5" t="s">
        <v>29</v>
      </c>
      <c r="C20" s="6">
        <v>775.0</v>
      </c>
      <c r="D20" s="6">
        <v>0.0</v>
      </c>
      <c r="E20" s="7">
        <f t="shared" si="1"/>
        <v>775</v>
      </c>
      <c r="F20" s="6">
        <f t="shared" si="2"/>
        <v>711.0091743</v>
      </c>
      <c r="G20" s="8">
        <v>0.0</v>
      </c>
      <c r="H20" s="7">
        <f t="shared" si="3"/>
        <v>0</v>
      </c>
      <c r="I20" s="8">
        <v>0.035</v>
      </c>
      <c r="J20" s="9">
        <f t="shared" si="4"/>
        <v>24.8853211</v>
      </c>
      <c r="K20" s="9">
        <f t="shared" si="5"/>
        <v>686.1238532</v>
      </c>
    </row>
    <row r="21">
      <c r="A21" s="5">
        <v>1020.0</v>
      </c>
      <c r="B21" s="5" t="s">
        <v>30</v>
      </c>
      <c r="C21" s="6">
        <v>775.0</v>
      </c>
      <c r="D21" s="6">
        <v>0.0</v>
      </c>
      <c r="E21" s="7">
        <f t="shared" si="1"/>
        <v>775</v>
      </c>
      <c r="F21" s="6">
        <f t="shared" si="2"/>
        <v>711.0091743</v>
      </c>
      <c r="G21" s="8">
        <v>0.0</v>
      </c>
      <c r="H21" s="7">
        <f t="shared" si="3"/>
        <v>0</v>
      </c>
      <c r="I21" s="8">
        <v>0.035</v>
      </c>
      <c r="J21" s="9">
        <f t="shared" si="4"/>
        <v>24.8853211</v>
      </c>
      <c r="K21" s="9">
        <f t="shared" si="5"/>
        <v>686.1238532</v>
      </c>
    </row>
    <row r="22">
      <c r="A22" s="5">
        <v>1021.0</v>
      </c>
      <c r="B22" s="5" t="s">
        <v>31</v>
      </c>
      <c r="C22" s="6">
        <v>775.0</v>
      </c>
      <c r="D22" s="6">
        <v>0.0</v>
      </c>
      <c r="E22" s="7">
        <f t="shared" si="1"/>
        <v>775</v>
      </c>
      <c r="F22" s="6">
        <f t="shared" si="2"/>
        <v>711.0091743</v>
      </c>
      <c r="G22" s="8">
        <v>0.0</v>
      </c>
      <c r="H22" s="7">
        <f t="shared" si="3"/>
        <v>0</v>
      </c>
      <c r="I22" s="8">
        <v>0.035</v>
      </c>
      <c r="J22" s="9">
        <f t="shared" si="4"/>
        <v>24.8853211</v>
      </c>
      <c r="K22" s="9">
        <f t="shared" si="5"/>
        <v>686.1238532</v>
      </c>
    </row>
    <row r="23">
      <c r="A23" s="5">
        <v>1022.0</v>
      </c>
      <c r="B23" s="5" t="s">
        <v>32</v>
      </c>
      <c r="C23" s="6">
        <v>595.0</v>
      </c>
      <c r="D23" s="6">
        <v>0.0</v>
      </c>
      <c r="E23" s="7">
        <f t="shared" si="1"/>
        <v>595</v>
      </c>
      <c r="F23" s="6">
        <f t="shared" si="2"/>
        <v>545.8715596</v>
      </c>
      <c r="G23" s="8">
        <v>0.0</v>
      </c>
      <c r="H23" s="7">
        <f t="shared" si="3"/>
        <v>0</v>
      </c>
      <c r="I23" s="8">
        <v>0.035</v>
      </c>
      <c r="J23" s="9">
        <f t="shared" si="4"/>
        <v>19.10550459</v>
      </c>
      <c r="K23" s="9">
        <f t="shared" si="5"/>
        <v>526.766055</v>
      </c>
    </row>
    <row r="24">
      <c r="A24" s="5">
        <v>1023.0</v>
      </c>
      <c r="B24" s="5" t="s">
        <v>33</v>
      </c>
      <c r="C24" s="6">
        <v>190.0</v>
      </c>
      <c r="D24" s="6">
        <v>0.0</v>
      </c>
      <c r="E24" s="7">
        <f t="shared" si="1"/>
        <v>190</v>
      </c>
      <c r="F24" s="6">
        <f t="shared" si="2"/>
        <v>174.3119266</v>
      </c>
      <c r="G24" s="8">
        <v>0.0</v>
      </c>
      <c r="H24" s="7">
        <f t="shared" si="3"/>
        <v>0</v>
      </c>
      <c r="I24" s="8">
        <v>0.035</v>
      </c>
      <c r="J24" s="9">
        <f t="shared" si="4"/>
        <v>6.100917431</v>
      </c>
      <c r="K24" s="9">
        <f t="shared" si="5"/>
        <v>168.2110092</v>
      </c>
    </row>
    <row r="25">
      <c r="A25" s="5">
        <v>1024.0</v>
      </c>
      <c r="B25" s="5" t="s">
        <v>34</v>
      </c>
      <c r="C25" s="6">
        <v>210.0</v>
      </c>
      <c r="D25" s="6">
        <v>0.0</v>
      </c>
      <c r="E25" s="7">
        <f t="shared" si="1"/>
        <v>210</v>
      </c>
      <c r="F25" s="6">
        <f t="shared" si="2"/>
        <v>192.6605505</v>
      </c>
      <c r="G25" s="8">
        <v>0.0</v>
      </c>
      <c r="H25" s="7">
        <f t="shared" si="3"/>
        <v>0</v>
      </c>
      <c r="I25" s="8">
        <v>0.035</v>
      </c>
      <c r="J25" s="9">
        <f t="shared" si="4"/>
        <v>6.743119266</v>
      </c>
      <c r="K25" s="9">
        <f t="shared" si="5"/>
        <v>185.9174312</v>
      </c>
    </row>
    <row r="26">
      <c r="A26" s="5">
        <v>1025.0</v>
      </c>
      <c r="B26" s="5" t="s">
        <v>35</v>
      </c>
      <c r="C26" s="6">
        <v>230.0</v>
      </c>
      <c r="D26" s="6">
        <v>0.0</v>
      </c>
      <c r="E26" s="7">
        <f t="shared" si="1"/>
        <v>230</v>
      </c>
      <c r="F26" s="6">
        <f t="shared" si="2"/>
        <v>211.0091743</v>
      </c>
      <c r="G26" s="8">
        <v>0.0</v>
      </c>
      <c r="H26" s="7">
        <f t="shared" si="3"/>
        <v>0</v>
      </c>
      <c r="I26" s="8">
        <v>0.035</v>
      </c>
      <c r="J26" s="9">
        <f t="shared" si="4"/>
        <v>7.385321101</v>
      </c>
      <c r="K26" s="9">
        <f t="shared" si="5"/>
        <v>203.6238532</v>
      </c>
    </row>
    <row r="27">
      <c r="A27" s="5">
        <v>1026.0</v>
      </c>
      <c r="B27" s="5" t="s">
        <v>36</v>
      </c>
      <c r="C27" s="6">
        <v>299.0</v>
      </c>
      <c r="D27" s="6">
        <v>0.0</v>
      </c>
      <c r="E27" s="7">
        <f t="shared" si="1"/>
        <v>299</v>
      </c>
      <c r="F27" s="6">
        <f t="shared" si="2"/>
        <v>274.3119266</v>
      </c>
      <c r="G27" s="8">
        <v>0.0</v>
      </c>
      <c r="H27" s="7">
        <f t="shared" si="3"/>
        <v>0</v>
      </c>
      <c r="I27" s="8">
        <v>0.035</v>
      </c>
      <c r="J27" s="9">
        <f t="shared" si="4"/>
        <v>9.600917431</v>
      </c>
      <c r="K27" s="9">
        <f t="shared" si="5"/>
        <v>264.7110092</v>
      </c>
    </row>
    <row r="28">
      <c r="A28" s="5">
        <v>1027.0</v>
      </c>
      <c r="B28" s="5" t="s">
        <v>37</v>
      </c>
      <c r="C28" s="6">
        <v>345.0</v>
      </c>
      <c r="D28" s="6">
        <v>0.0</v>
      </c>
      <c r="E28" s="7">
        <f t="shared" si="1"/>
        <v>345</v>
      </c>
      <c r="F28" s="6">
        <f t="shared" si="2"/>
        <v>316.5137615</v>
      </c>
      <c r="G28" s="8">
        <v>0.0</v>
      </c>
      <c r="H28" s="7">
        <f t="shared" si="3"/>
        <v>0</v>
      </c>
      <c r="I28" s="8">
        <v>0.035</v>
      </c>
      <c r="J28" s="9">
        <f t="shared" si="4"/>
        <v>11.07798165</v>
      </c>
      <c r="K28" s="9">
        <f t="shared" si="5"/>
        <v>305.4357798</v>
      </c>
    </row>
    <row r="29">
      <c r="A29" s="5">
        <v>1028.0</v>
      </c>
      <c r="B29" s="5" t="s">
        <v>38</v>
      </c>
      <c r="C29" s="6">
        <v>10.0</v>
      </c>
      <c r="D29" s="6">
        <v>0.0</v>
      </c>
      <c r="E29" s="10">
        <f t="shared" ref="E29:E65" si="6">ROUNDUP(F29,0)</f>
        <v>10</v>
      </c>
      <c r="F29" s="6">
        <f t="shared" ref="F29:F39" si="7">C29/1.1</f>
        <v>9.090909091</v>
      </c>
      <c r="G29" s="8">
        <v>0.02</v>
      </c>
      <c r="H29" s="7">
        <f t="shared" si="3"/>
        <v>0.1818181818</v>
      </c>
      <c r="I29" s="8">
        <v>0.035</v>
      </c>
      <c r="J29" s="9">
        <f t="shared" si="4"/>
        <v>0.3118181818</v>
      </c>
      <c r="K29" s="9">
        <f t="shared" si="5"/>
        <v>8.597272727</v>
      </c>
    </row>
    <row r="30">
      <c r="A30" s="5">
        <v>1029.0</v>
      </c>
      <c r="B30" s="5" t="s">
        <v>39</v>
      </c>
      <c r="C30" s="6">
        <v>20.0</v>
      </c>
      <c r="D30" s="6">
        <v>0.0</v>
      </c>
      <c r="E30" s="10">
        <f t="shared" si="6"/>
        <v>19</v>
      </c>
      <c r="F30" s="6">
        <f t="shared" si="7"/>
        <v>18.18181818</v>
      </c>
      <c r="G30" s="8">
        <v>0.025</v>
      </c>
      <c r="H30" s="7">
        <f t="shared" si="3"/>
        <v>0.4545454545</v>
      </c>
      <c r="I30" s="8">
        <v>0.035</v>
      </c>
      <c r="J30" s="9">
        <f t="shared" si="4"/>
        <v>0.6204545455</v>
      </c>
      <c r="K30" s="9">
        <f t="shared" si="5"/>
        <v>17.10681818</v>
      </c>
    </row>
    <row r="31">
      <c r="A31" s="5">
        <v>1030.0</v>
      </c>
      <c r="B31" s="5" t="s">
        <v>40</v>
      </c>
      <c r="C31" s="6">
        <v>25.0</v>
      </c>
      <c r="D31" s="6">
        <v>0.0</v>
      </c>
      <c r="E31" s="10">
        <f t="shared" si="6"/>
        <v>23</v>
      </c>
      <c r="F31" s="6">
        <f t="shared" si="7"/>
        <v>22.72727273</v>
      </c>
      <c r="G31" s="8">
        <v>0.025</v>
      </c>
      <c r="H31" s="7">
        <f t="shared" si="3"/>
        <v>0.5681818182</v>
      </c>
      <c r="I31" s="8">
        <v>0.035</v>
      </c>
      <c r="J31" s="9">
        <f t="shared" si="4"/>
        <v>0.7755681818</v>
      </c>
      <c r="K31" s="9">
        <f t="shared" si="5"/>
        <v>21.38352273</v>
      </c>
    </row>
    <row r="32">
      <c r="A32" s="5">
        <v>1031.0</v>
      </c>
      <c r="B32" s="5" t="s">
        <v>41</v>
      </c>
      <c r="C32" s="6">
        <v>25.0</v>
      </c>
      <c r="D32" s="6">
        <v>0.0</v>
      </c>
      <c r="E32" s="10">
        <f t="shared" si="6"/>
        <v>23</v>
      </c>
      <c r="F32" s="6">
        <f t="shared" si="7"/>
        <v>22.72727273</v>
      </c>
      <c r="G32" s="8">
        <v>0.03</v>
      </c>
      <c r="H32" s="7">
        <f t="shared" si="3"/>
        <v>0.6818181818</v>
      </c>
      <c r="I32" s="8">
        <v>0.035</v>
      </c>
      <c r="J32" s="9">
        <f t="shared" si="4"/>
        <v>0.7715909091</v>
      </c>
      <c r="K32" s="9">
        <f t="shared" si="5"/>
        <v>21.27386364</v>
      </c>
    </row>
    <row r="33">
      <c r="A33" s="5">
        <v>1032.0</v>
      </c>
      <c r="B33" s="5" t="s">
        <v>42</v>
      </c>
      <c r="C33" s="6">
        <v>30.0</v>
      </c>
      <c r="D33" s="6">
        <v>0.0</v>
      </c>
      <c r="E33" s="10">
        <f t="shared" si="6"/>
        <v>28</v>
      </c>
      <c r="F33" s="6">
        <f t="shared" si="7"/>
        <v>27.27272727</v>
      </c>
      <c r="G33" s="8">
        <v>0.025</v>
      </c>
      <c r="H33" s="7">
        <f t="shared" si="3"/>
        <v>0.6818181818</v>
      </c>
      <c r="I33" s="8">
        <v>0.035</v>
      </c>
      <c r="J33" s="9">
        <f t="shared" si="4"/>
        <v>0.9306818182</v>
      </c>
      <c r="K33" s="9">
        <f t="shared" si="5"/>
        <v>25.66022727</v>
      </c>
    </row>
    <row r="34">
      <c r="A34" s="5">
        <v>1033.0</v>
      </c>
      <c r="B34" s="5" t="s">
        <v>43</v>
      </c>
      <c r="C34" s="6">
        <v>50.0</v>
      </c>
      <c r="D34" s="6">
        <v>0.0</v>
      </c>
      <c r="E34" s="10">
        <f t="shared" si="6"/>
        <v>46</v>
      </c>
      <c r="F34" s="6">
        <f t="shared" si="7"/>
        <v>45.45454545</v>
      </c>
      <c r="G34" s="8">
        <v>0.025</v>
      </c>
      <c r="H34" s="7">
        <f t="shared" si="3"/>
        <v>1.136363636</v>
      </c>
      <c r="I34" s="8">
        <v>0.035</v>
      </c>
      <c r="J34" s="9">
        <f t="shared" si="4"/>
        <v>1.551136364</v>
      </c>
      <c r="K34" s="9">
        <f t="shared" si="5"/>
        <v>42.76704545</v>
      </c>
    </row>
    <row r="35">
      <c r="A35" s="5">
        <v>1034.0</v>
      </c>
      <c r="B35" s="5" t="s">
        <v>44</v>
      </c>
      <c r="C35" s="6">
        <v>185.0</v>
      </c>
      <c r="D35" s="6">
        <v>0.0</v>
      </c>
      <c r="E35" s="10">
        <f t="shared" si="6"/>
        <v>169</v>
      </c>
      <c r="F35" s="6">
        <f t="shared" si="7"/>
        <v>168.1818182</v>
      </c>
      <c r="G35" s="8">
        <v>0.03</v>
      </c>
      <c r="H35" s="7">
        <f t="shared" si="3"/>
        <v>5.045454545</v>
      </c>
      <c r="I35" s="8">
        <v>0.035</v>
      </c>
      <c r="J35" s="9">
        <f t="shared" si="4"/>
        <v>5.709772727</v>
      </c>
      <c r="K35" s="9">
        <f t="shared" si="5"/>
        <v>157.4265909</v>
      </c>
    </row>
    <row r="36">
      <c r="A36" s="5">
        <v>1035.0</v>
      </c>
      <c r="B36" s="5" t="s">
        <v>45</v>
      </c>
      <c r="C36" s="6">
        <v>95.0</v>
      </c>
      <c r="D36" s="6">
        <v>0.0</v>
      </c>
      <c r="E36" s="10">
        <f t="shared" si="6"/>
        <v>87</v>
      </c>
      <c r="F36" s="6">
        <f t="shared" si="7"/>
        <v>86.36363636</v>
      </c>
      <c r="G36" s="8">
        <v>0.03</v>
      </c>
      <c r="H36" s="7">
        <f t="shared" si="3"/>
        <v>2.590909091</v>
      </c>
      <c r="I36" s="8">
        <v>0.035</v>
      </c>
      <c r="J36" s="9">
        <f t="shared" si="4"/>
        <v>2.932045455</v>
      </c>
      <c r="K36" s="9">
        <f t="shared" si="5"/>
        <v>80.84068182</v>
      </c>
    </row>
    <row r="37">
      <c r="A37" s="5">
        <v>1036.0</v>
      </c>
      <c r="B37" s="5" t="s">
        <v>45</v>
      </c>
      <c r="C37" s="6">
        <v>95.0</v>
      </c>
      <c r="D37" s="6">
        <v>0.0</v>
      </c>
      <c r="E37" s="10">
        <f t="shared" si="6"/>
        <v>87</v>
      </c>
      <c r="F37" s="6">
        <f t="shared" si="7"/>
        <v>86.36363636</v>
      </c>
      <c r="G37" s="8">
        <v>0.03</v>
      </c>
      <c r="H37" s="7">
        <f t="shared" si="3"/>
        <v>2.590909091</v>
      </c>
      <c r="I37" s="8">
        <v>0.035</v>
      </c>
      <c r="J37" s="9">
        <f t="shared" si="4"/>
        <v>2.932045455</v>
      </c>
      <c r="K37" s="9">
        <f t="shared" si="5"/>
        <v>80.84068182</v>
      </c>
    </row>
    <row r="38">
      <c r="A38" s="5">
        <v>1037.0</v>
      </c>
      <c r="B38" s="5" t="s">
        <v>46</v>
      </c>
      <c r="C38" s="6">
        <v>90.0</v>
      </c>
      <c r="D38" s="6">
        <v>0.0</v>
      </c>
      <c r="E38" s="10">
        <f t="shared" si="6"/>
        <v>82</v>
      </c>
      <c r="F38" s="6">
        <f t="shared" si="7"/>
        <v>81.81818182</v>
      </c>
      <c r="G38" s="8">
        <v>0.03</v>
      </c>
      <c r="H38" s="7">
        <f t="shared" si="3"/>
        <v>2.454545455</v>
      </c>
      <c r="I38" s="8">
        <v>0.035</v>
      </c>
      <c r="J38" s="9">
        <f t="shared" si="4"/>
        <v>2.777727273</v>
      </c>
      <c r="K38" s="9">
        <f t="shared" si="5"/>
        <v>76.58590909</v>
      </c>
    </row>
    <row r="39">
      <c r="A39" s="5">
        <v>1038.0</v>
      </c>
      <c r="B39" s="5" t="s">
        <v>47</v>
      </c>
      <c r="C39" s="6">
        <v>210.0</v>
      </c>
      <c r="D39" s="6">
        <v>0.0</v>
      </c>
      <c r="E39" s="10">
        <f t="shared" si="6"/>
        <v>191</v>
      </c>
      <c r="F39" s="6">
        <f t="shared" si="7"/>
        <v>190.9090909</v>
      </c>
      <c r="G39" s="8">
        <v>0.03</v>
      </c>
      <c r="H39" s="7">
        <f t="shared" si="3"/>
        <v>5.727272727</v>
      </c>
      <c r="I39" s="8">
        <v>0.035</v>
      </c>
      <c r="J39" s="9">
        <f t="shared" si="4"/>
        <v>6.481363636</v>
      </c>
      <c r="K39" s="9">
        <f t="shared" si="5"/>
        <v>178.7004545</v>
      </c>
    </row>
    <row r="40">
      <c r="A40" s="5">
        <v>1039.0</v>
      </c>
      <c r="B40" s="5" t="s">
        <v>48</v>
      </c>
      <c r="C40" s="6">
        <v>5.0</v>
      </c>
      <c r="D40" s="6">
        <v>0.0</v>
      </c>
      <c r="E40" s="10">
        <f t="shared" si="6"/>
        <v>5</v>
      </c>
      <c r="F40" s="6">
        <f>C40/1.115</f>
        <v>4.484304933</v>
      </c>
      <c r="G40" s="8">
        <v>0.04</v>
      </c>
      <c r="H40" s="7">
        <f t="shared" si="3"/>
        <v>0.1793721973</v>
      </c>
      <c r="I40" s="8">
        <v>0.035</v>
      </c>
      <c r="J40" s="9">
        <f t="shared" si="4"/>
        <v>0.1506726457</v>
      </c>
      <c r="K40" s="9">
        <f t="shared" si="5"/>
        <v>4.15426009</v>
      </c>
    </row>
    <row r="41">
      <c r="A41" s="5">
        <v>1040.0</v>
      </c>
      <c r="B41" s="5" t="s">
        <v>49</v>
      </c>
      <c r="C41" s="6">
        <v>10.0</v>
      </c>
      <c r="D41" s="6">
        <v>0.0</v>
      </c>
      <c r="E41" s="10">
        <f t="shared" si="6"/>
        <v>10</v>
      </c>
      <c r="F41" s="6">
        <f t="shared" ref="F41:F45" si="8">C41/1.1</f>
        <v>9.090909091</v>
      </c>
      <c r="G41" s="8">
        <v>0.05</v>
      </c>
      <c r="H41" s="7">
        <f t="shared" si="3"/>
        <v>0.4545454545</v>
      </c>
      <c r="I41" s="8">
        <v>0.035</v>
      </c>
      <c r="J41" s="9">
        <f t="shared" si="4"/>
        <v>0.3022727273</v>
      </c>
      <c r="K41" s="9">
        <f t="shared" si="5"/>
        <v>8.334090909</v>
      </c>
    </row>
    <row r="42">
      <c r="A42" s="5">
        <v>1041.0</v>
      </c>
      <c r="B42" s="5" t="s">
        <v>50</v>
      </c>
      <c r="C42" s="6">
        <v>10.0</v>
      </c>
      <c r="D42" s="6">
        <v>0.0</v>
      </c>
      <c r="E42" s="10">
        <f t="shared" si="6"/>
        <v>10</v>
      </c>
      <c r="F42" s="6">
        <f t="shared" si="8"/>
        <v>9.090909091</v>
      </c>
      <c r="G42" s="8">
        <v>0.02</v>
      </c>
      <c r="H42" s="7">
        <f t="shared" si="3"/>
        <v>0.1818181818</v>
      </c>
      <c r="I42" s="8">
        <v>0.035</v>
      </c>
      <c r="J42" s="9">
        <f t="shared" si="4"/>
        <v>0.3118181818</v>
      </c>
      <c r="K42" s="9">
        <f t="shared" si="5"/>
        <v>8.597272727</v>
      </c>
    </row>
    <row r="43">
      <c r="A43" s="5">
        <v>1042.0</v>
      </c>
      <c r="B43" s="5" t="s">
        <v>51</v>
      </c>
      <c r="C43" s="6">
        <v>20.0</v>
      </c>
      <c r="D43" s="6">
        <v>0.0</v>
      </c>
      <c r="E43" s="10">
        <f t="shared" si="6"/>
        <v>19</v>
      </c>
      <c r="F43" s="6">
        <f t="shared" si="8"/>
        <v>18.18181818</v>
      </c>
      <c r="G43" s="8">
        <v>0.02</v>
      </c>
      <c r="H43" s="7">
        <f t="shared" si="3"/>
        <v>0.3636363636</v>
      </c>
      <c r="I43" s="8">
        <v>0.035</v>
      </c>
      <c r="J43" s="9">
        <f t="shared" si="4"/>
        <v>0.6236363636</v>
      </c>
      <c r="K43" s="9">
        <f t="shared" si="5"/>
        <v>17.19454545</v>
      </c>
    </row>
    <row r="44">
      <c r="A44" s="5">
        <v>1043.0</v>
      </c>
      <c r="B44" s="5" t="s">
        <v>52</v>
      </c>
      <c r="C44" s="6">
        <v>10.0</v>
      </c>
      <c r="D44" s="6">
        <v>0.0</v>
      </c>
      <c r="E44" s="10">
        <f t="shared" si="6"/>
        <v>10</v>
      </c>
      <c r="F44" s="6">
        <f t="shared" si="8"/>
        <v>9.090909091</v>
      </c>
      <c r="G44" s="8">
        <v>0.02</v>
      </c>
      <c r="H44" s="7">
        <f t="shared" si="3"/>
        <v>0.1818181818</v>
      </c>
      <c r="I44" s="8">
        <v>0.035</v>
      </c>
      <c r="J44" s="9">
        <f t="shared" si="4"/>
        <v>0.3118181818</v>
      </c>
      <c r="K44" s="9">
        <f t="shared" si="5"/>
        <v>8.597272727</v>
      </c>
    </row>
    <row r="45">
      <c r="A45" s="5">
        <v>1044.0</v>
      </c>
      <c r="B45" s="5" t="s">
        <v>53</v>
      </c>
      <c r="C45" s="6">
        <v>10.0</v>
      </c>
      <c r="D45" s="6">
        <v>0.0</v>
      </c>
      <c r="E45" s="10">
        <f t="shared" si="6"/>
        <v>10</v>
      </c>
      <c r="F45" s="6">
        <f t="shared" si="8"/>
        <v>9.090909091</v>
      </c>
      <c r="G45" s="8">
        <v>0.02</v>
      </c>
      <c r="H45" s="7">
        <f t="shared" si="3"/>
        <v>0.1818181818</v>
      </c>
      <c r="I45" s="8">
        <v>0.035</v>
      </c>
      <c r="J45" s="9">
        <f t="shared" si="4"/>
        <v>0.3118181818</v>
      </c>
      <c r="K45" s="9">
        <f t="shared" si="5"/>
        <v>8.597272727</v>
      </c>
    </row>
    <row r="46">
      <c r="A46" s="5">
        <v>1045.0</v>
      </c>
      <c r="B46" s="5" t="s">
        <v>54</v>
      </c>
      <c r="C46" s="6">
        <v>10.0</v>
      </c>
      <c r="D46" s="6">
        <v>0.0</v>
      </c>
      <c r="E46" s="10">
        <f t="shared" si="6"/>
        <v>10</v>
      </c>
      <c r="F46" s="6">
        <f t="shared" ref="F46:F56" si="9">C46/1.09</f>
        <v>9.174311927</v>
      </c>
      <c r="G46" s="8">
        <v>0.02</v>
      </c>
      <c r="H46" s="7">
        <f t="shared" si="3"/>
        <v>0.1834862385</v>
      </c>
      <c r="I46" s="8">
        <v>0.035</v>
      </c>
      <c r="J46" s="9">
        <f t="shared" si="4"/>
        <v>0.3146788991</v>
      </c>
      <c r="K46" s="9">
        <f t="shared" si="5"/>
        <v>8.676146789</v>
      </c>
    </row>
    <row r="47">
      <c r="A47" s="5">
        <v>1046.0</v>
      </c>
      <c r="B47" s="5" t="s">
        <v>55</v>
      </c>
      <c r="C47" s="6">
        <v>90.0</v>
      </c>
      <c r="D47" s="6">
        <v>0.0</v>
      </c>
      <c r="E47" s="10">
        <f t="shared" si="6"/>
        <v>83</v>
      </c>
      <c r="F47" s="6">
        <f t="shared" si="9"/>
        <v>82.56880734</v>
      </c>
      <c r="G47" s="8">
        <v>0.0175</v>
      </c>
      <c r="H47" s="7">
        <f t="shared" si="3"/>
        <v>1.444954128</v>
      </c>
      <c r="I47" s="8">
        <v>0.035</v>
      </c>
      <c r="J47" s="9">
        <f t="shared" si="4"/>
        <v>2.839334862</v>
      </c>
      <c r="K47" s="9">
        <f t="shared" si="5"/>
        <v>78.28451835</v>
      </c>
    </row>
    <row r="48">
      <c r="A48" s="5">
        <v>1047.0</v>
      </c>
      <c r="B48" s="5" t="s">
        <v>56</v>
      </c>
      <c r="C48" s="6">
        <v>60.0</v>
      </c>
      <c r="D48" s="6">
        <v>0.0</v>
      </c>
      <c r="E48" s="10">
        <f t="shared" si="6"/>
        <v>56</v>
      </c>
      <c r="F48" s="6">
        <f t="shared" si="9"/>
        <v>55.04587156</v>
      </c>
      <c r="G48" s="8">
        <v>0.0175</v>
      </c>
      <c r="H48" s="7">
        <f t="shared" si="3"/>
        <v>0.9633027523</v>
      </c>
      <c r="I48" s="8">
        <v>0.035</v>
      </c>
      <c r="J48" s="9">
        <f t="shared" si="4"/>
        <v>1.892889908</v>
      </c>
      <c r="K48" s="9">
        <f t="shared" si="5"/>
        <v>52.1896789</v>
      </c>
    </row>
    <row r="49">
      <c r="A49" s="5">
        <v>1048.0</v>
      </c>
      <c r="B49" s="5" t="s">
        <v>57</v>
      </c>
      <c r="C49" s="6">
        <v>7.0</v>
      </c>
      <c r="D49" s="6">
        <v>0.0</v>
      </c>
      <c r="E49" s="10">
        <f t="shared" si="6"/>
        <v>7</v>
      </c>
      <c r="F49" s="6">
        <f t="shared" si="9"/>
        <v>6.422018349</v>
      </c>
      <c r="G49" s="8">
        <v>0.0175</v>
      </c>
      <c r="H49" s="7">
        <f t="shared" si="3"/>
        <v>0.1123853211</v>
      </c>
      <c r="I49" s="8">
        <v>0.035</v>
      </c>
      <c r="J49" s="9">
        <f t="shared" si="4"/>
        <v>0.220837156</v>
      </c>
      <c r="K49" s="9">
        <f t="shared" si="5"/>
        <v>6.088795872</v>
      </c>
    </row>
    <row r="50">
      <c r="A50" s="5">
        <v>1049.0</v>
      </c>
      <c r="B50" s="5" t="s">
        <v>58</v>
      </c>
      <c r="C50" s="6">
        <v>5.0</v>
      </c>
      <c r="D50" s="6">
        <v>0.0</v>
      </c>
      <c r="E50" s="10">
        <f t="shared" si="6"/>
        <v>5</v>
      </c>
      <c r="F50" s="6">
        <f t="shared" si="9"/>
        <v>4.587155963</v>
      </c>
      <c r="G50" s="8">
        <v>0.05</v>
      </c>
      <c r="H50" s="7">
        <f t="shared" si="3"/>
        <v>0.2293577982</v>
      </c>
      <c r="I50" s="8">
        <v>0.035</v>
      </c>
      <c r="J50" s="9">
        <f t="shared" si="4"/>
        <v>0.1525229358</v>
      </c>
      <c r="K50" s="9">
        <f t="shared" si="5"/>
        <v>4.205275229</v>
      </c>
    </row>
    <row r="51">
      <c r="A51" s="5">
        <v>1050.0</v>
      </c>
      <c r="B51" s="5" t="s">
        <v>59</v>
      </c>
      <c r="C51" s="6">
        <v>170.0</v>
      </c>
      <c r="D51" s="6">
        <v>0.0</v>
      </c>
      <c r="E51" s="10">
        <f t="shared" si="6"/>
        <v>156</v>
      </c>
      <c r="F51" s="6">
        <f t="shared" si="9"/>
        <v>155.9633028</v>
      </c>
      <c r="G51" s="8">
        <v>0.08</v>
      </c>
      <c r="H51" s="7">
        <f t="shared" si="3"/>
        <v>12.47706422</v>
      </c>
      <c r="I51" s="8">
        <v>0.035</v>
      </c>
      <c r="J51" s="9">
        <f t="shared" si="4"/>
        <v>5.022018349</v>
      </c>
      <c r="K51" s="9">
        <f t="shared" si="5"/>
        <v>138.4642202</v>
      </c>
    </row>
    <row r="52">
      <c r="A52" s="5">
        <v>1051.0</v>
      </c>
      <c r="B52" s="5" t="s">
        <v>60</v>
      </c>
      <c r="C52" s="6">
        <v>20.0</v>
      </c>
      <c r="D52" s="6">
        <v>0.0</v>
      </c>
      <c r="E52" s="10">
        <f t="shared" si="6"/>
        <v>19</v>
      </c>
      <c r="F52" s="6">
        <f t="shared" si="9"/>
        <v>18.34862385</v>
      </c>
      <c r="G52" s="8">
        <v>0.035</v>
      </c>
      <c r="H52" s="7">
        <f t="shared" si="3"/>
        <v>0.6422018349</v>
      </c>
      <c r="I52" s="8">
        <v>0.035</v>
      </c>
      <c r="J52" s="9">
        <f t="shared" si="4"/>
        <v>0.6197247706</v>
      </c>
      <c r="K52" s="9">
        <f t="shared" si="5"/>
        <v>17.08669725</v>
      </c>
    </row>
    <row r="53">
      <c r="A53" s="5">
        <v>1052.0</v>
      </c>
      <c r="B53" s="5" t="s">
        <v>61</v>
      </c>
      <c r="C53" s="6">
        <v>84.0</v>
      </c>
      <c r="D53" s="6">
        <v>0.0</v>
      </c>
      <c r="E53" s="10">
        <f t="shared" si="6"/>
        <v>78</v>
      </c>
      <c r="F53" s="6">
        <f t="shared" si="9"/>
        <v>77.06422018</v>
      </c>
      <c r="G53" s="8">
        <v>0.02</v>
      </c>
      <c r="H53" s="7">
        <f t="shared" si="3"/>
        <v>1.541284404</v>
      </c>
      <c r="I53" s="8">
        <v>0.035</v>
      </c>
      <c r="J53" s="9">
        <f t="shared" si="4"/>
        <v>2.643302752</v>
      </c>
      <c r="K53" s="9">
        <f t="shared" si="5"/>
        <v>72.87963303</v>
      </c>
    </row>
    <row r="54">
      <c r="A54" s="5">
        <v>1053.0</v>
      </c>
      <c r="B54" s="5" t="s">
        <v>62</v>
      </c>
      <c r="C54" s="6">
        <v>149.0</v>
      </c>
      <c r="D54" s="6">
        <v>0.0</v>
      </c>
      <c r="E54" s="10">
        <f t="shared" si="6"/>
        <v>137</v>
      </c>
      <c r="F54" s="6">
        <f t="shared" si="9"/>
        <v>136.6972477</v>
      </c>
      <c r="G54" s="8">
        <v>0.03</v>
      </c>
      <c r="H54" s="7">
        <f t="shared" si="3"/>
        <v>4.100917431</v>
      </c>
      <c r="I54" s="8">
        <v>0.035</v>
      </c>
      <c r="J54" s="9">
        <f t="shared" si="4"/>
        <v>4.64087156</v>
      </c>
      <c r="K54" s="9">
        <f t="shared" si="5"/>
        <v>127.9554587</v>
      </c>
    </row>
    <row r="55">
      <c r="A55" s="5">
        <v>1054.0</v>
      </c>
      <c r="B55" s="5" t="s">
        <v>59</v>
      </c>
      <c r="C55" s="6">
        <v>170.0</v>
      </c>
      <c r="D55" s="6">
        <v>0.0</v>
      </c>
      <c r="E55" s="10">
        <f t="shared" si="6"/>
        <v>156</v>
      </c>
      <c r="F55" s="6">
        <f t="shared" si="9"/>
        <v>155.9633028</v>
      </c>
      <c r="G55" s="8">
        <v>0.08</v>
      </c>
      <c r="H55" s="7">
        <f t="shared" si="3"/>
        <v>12.47706422</v>
      </c>
      <c r="I55" s="8">
        <v>0.035</v>
      </c>
      <c r="J55" s="9">
        <f t="shared" si="4"/>
        <v>5.022018349</v>
      </c>
      <c r="K55" s="9">
        <f t="shared" si="5"/>
        <v>138.4642202</v>
      </c>
    </row>
    <row r="56">
      <c r="A56" s="5">
        <v>1055.0</v>
      </c>
      <c r="B56" s="5" t="s">
        <v>63</v>
      </c>
      <c r="C56" s="6">
        <v>190.0</v>
      </c>
      <c r="D56" s="6">
        <v>0.0</v>
      </c>
      <c r="E56" s="10">
        <f t="shared" si="6"/>
        <v>175</v>
      </c>
      <c r="F56" s="6">
        <f t="shared" si="9"/>
        <v>174.3119266</v>
      </c>
      <c r="G56" s="8">
        <v>0.08</v>
      </c>
      <c r="H56" s="7">
        <f t="shared" si="3"/>
        <v>13.94495413</v>
      </c>
      <c r="I56" s="8">
        <v>0.035</v>
      </c>
      <c r="J56" s="9">
        <f t="shared" si="4"/>
        <v>5.612844037</v>
      </c>
      <c r="K56" s="9">
        <f t="shared" si="5"/>
        <v>154.7541284</v>
      </c>
    </row>
    <row r="57">
      <c r="A57" s="5">
        <v>1056.0</v>
      </c>
      <c r="B57" s="5" t="s">
        <v>64</v>
      </c>
      <c r="C57" s="6">
        <v>2.0</v>
      </c>
      <c r="D57" s="6">
        <v>0.0</v>
      </c>
      <c r="E57" s="10">
        <f t="shared" si="6"/>
        <v>2</v>
      </c>
      <c r="F57" s="6">
        <f t="shared" ref="F57:F58" si="10">C57/1.07</f>
        <v>1.869158879</v>
      </c>
      <c r="G57" s="8">
        <v>0.03</v>
      </c>
      <c r="H57" s="7">
        <f t="shared" si="3"/>
        <v>0.05607476636</v>
      </c>
      <c r="I57" s="8">
        <v>0.035</v>
      </c>
      <c r="J57" s="9">
        <f t="shared" si="4"/>
        <v>0.06345794393</v>
      </c>
      <c r="K57" s="9">
        <f t="shared" si="5"/>
        <v>1.749626168</v>
      </c>
    </row>
    <row r="58">
      <c r="A58" s="5">
        <v>1057.0</v>
      </c>
      <c r="B58" s="5" t="s">
        <v>65</v>
      </c>
      <c r="C58" s="6">
        <v>2.0</v>
      </c>
      <c r="D58" s="6">
        <v>0.0</v>
      </c>
      <c r="E58" s="10">
        <f t="shared" si="6"/>
        <v>2</v>
      </c>
      <c r="F58" s="6">
        <f t="shared" si="10"/>
        <v>1.869158879</v>
      </c>
      <c r="G58" s="8">
        <v>0.02</v>
      </c>
      <c r="H58" s="7">
        <f t="shared" si="3"/>
        <v>0.03738317757</v>
      </c>
      <c r="I58" s="8">
        <v>0.035</v>
      </c>
      <c r="J58" s="9">
        <f t="shared" si="4"/>
        <v>0.06411214953</v>
      </c>
      <c r="K58" s="9">
        <f t="shared" si="5"/>
        <v>1.767663551</v>
      </c>
    </row>
    <row r="59">
      <c r="A59" s="5">
        <v>1058.0</v>
      </c>
      <c r="B59" s="5" t="s">
        <v>66</v>
      </c>
      <c r="C59" s="6">
        <v>50.0</v>
      </c>
      <c r="D59" s="6">
        <v>0.0</v>
      </c>
      <c r="E59" s="10">
        <f t="shared" si="6"/>
        <v>45</v>
      </c>
      <c r="F59" s="6">
        <f t="shared" ref="F59:F64" si="11">C59/1.125</f>
        <v>44.44444444</v>
      </c>
      <c r="G59" s="8">
        <v>0.0625</v>
      </c>
      <c r="H59" s="7">
        <f t="shared" si="3"/>
        <v>2.777777778</v>
      </c>
      <c r="I59" s="8">
        <v>0.035</v>
      </c>
      <c r="J59" s="9">
        <f t="shared" si="4"/>
        <v>1.458333333</v>
      </c>
      <c r="K59" s="9">
        <f t="shared" si="5"/>
        <v>40.20833333</v>
      </c>
    </row>
    <row r="60">
      <c r="A60" s="5">
        <v>1059.0</v>
      </c>
      <c r="B60" s="5" t="s">
        <v>67</v>
      </c>
      <c r="C60" s="6">
        <v>50.0</v>
      </c>
      <c r="D60" s="6">
        <v>0.0</v>
      </c>
      <c r="E60" s="10">
        <f t="shared" si="6"/>
        <v>45</v>
      </c>
      <c r="F60" s="6">
        <f t="shared" si="11"/>
        <v>44.44444444</v>
      </c>
      <c r="G60" s="8">
        <v>0.0625</v>
      </c>
      <c r="H60" s="7">
        <f t="shared" si="3"/>
        <v>2.777777778</v>
      </c>
      <c r="I60" s="8">
        <v>0.035</v>
      </c>
      <c r="J60" s="9">
        <f t="shared" si="4"/>
        <v>1.458333333</v>
      </c>
      <c r="K60" s="9">
        <f t="shared" si="5"/>
        <v>40.20833333</v>
      </c>
    </row>
    <row r="61">
      <c r="A61" s="5">
        <v>1060.0</v>
      </c>
      <c r="B61" s="5" t="s">
        <v>68</v>
      </c>
      <c r="C61" s="6">
        <v>50.0</v>
      </c>
      <c r="D61" s="6">
        <v>0.0</v>
      </c>
      <c r="E61" s="10">
        <f t="shared" si="6"/>
        <v>45</v>
      </c>
      <c r="F61" s="6">
        <f t="shared" si="11"/>
        <v>44.44444444</v>
      </c>
      <c r="G61" s="8">
        <v>0.0625</v>
      </c>
      <c r="H61" s="7">
        <f t="shared" si="3"/>
        <v>2.777777778</v>
      </c>
      <c r="I61" s="8">
        <v>0.035</v>
      </c>
      <c r="J61" s="9">
        <f t="shared" si="4"/>
        <v>1.458333333</v>
      </c>
      <c r="K61" s="9">
        <f t="shared" si="5"/>
        <v>40.20833333</v>
      </c>
    </row>
    <row r="62">
      <c r="A62" s="5">
        <v>1061.0</v>
      </c>
      <c r="B62" s="5" t="s">
        <v>69</v>
      </c>
      <c r="C62" s="6">
        <v>75.0</v>
      </c>
      <c r="D62" s="6">
        <v>0.0</v>
      </c>
      <c r="E62" s="10">
        <f t="shared" si="6"/>
        <v>67</v>
      </c>
      <c r="F62" s="6">
        <f t="shared" si="11"/>
        <v>66.66666667</v>
      </c>
      <c r="G62" s="8">
        <v>0.0625</v>
      </c>
      <c r="H62" s="7">
        <f t="shared" si="3"/>
        <v>4.166666667</v>
      </c>
      <c r="I62" s="8">
        <v>0.035</v>
      </c>
      <c r="J62" s="9">
        <f t="shared" si="4"/>
        <v>2.1875</v>
      </c>
      <c r="K62" s="9">
        <f t="shared" si="5"/>
        <v>60.3125</v>
      </c>
    </row>
    <row r="63">
      <c r="A63" s="5">
        <v>1062.0</v>
      </c>
      <c r="B63" s="5" t="s">
        <v>70</v>
      </c>
      <c r="C63" s="6">
        <v>75.0</v>
      </c>
      <c r="D63" s="6">
        <v>0.0</v>
      </c>
      <c r="E63" s="10">
        <f t="shared" si="6"/>
        <v>67</v>
      </c>
      <c r="F63" s="6">
        <f t="shared" si="11"/>
        <v>66.66666667</v>
      </c>
      <c r="G63" s="8">
        <v>0.0625</v>
      </c>
      <c r="H63" s="7">
        <f t="shared" si="3"/>
        <v>4.166666667</v>
      </c>
      <c r="I63" s="8">
        <v>0.035</v>
      </c>
      <c r="J63" s="9">
        <f t="shared" si="4"/>
        <v>2.1875</v>
      </c>
      <c r="K63" s="9">
        <f t="shared" si="5"/>
        <v>60.3125</v>
      </c>
    </row>
    <row r="64">
      <c r="A64" s="5">
        <v>1063.0</v>
      </c>
      <c r="B64" s="5" t="s">
        <v>71</v>
      </c>
      <c r="C64" s="6">
        <v>75.0</v>
      </c>
      <c r="D64" s="6">
        <v>0.0</v>
      </c>
      <c r="E64" s="10">
        <f t="shared" si="6"/>
        <v>67</v>
      </c>
      <c r="F64" s="6">
        <f t="shared" si="11"/>
        <v>66.66666667</v>
      </c>
      <c r="G64" s="8">
        <v>0.0625</v>
      </c>
      <c r="H64" s="7">
        <f t="shared" si="3"/>
        <v>4.166666667</v>
      </c>
      <c r="I64" s="8">
        <v>0.035</v>
      </c>
      <c r="J64" s="9">
        <f t="shared" si="4"/>
        <v>2.1875</v>
      </c>
      <c r="K64" s="9">
        <f t="shared" si="5"/>
        <v>60.3125</v>
      </c>
    </row>
    <row r="65">
      <c r="A65" s="5">
        <v>1064.0</v>
      </c>
      <c r="B65" s="5" t="s">
        <v>72</v>
      </c>
      <c r="C65" s="6">
        <v>124.0</v>
      </c>
      <c r="D65" s="6">
        <v>0.0</v>
      </c>
      <c r="E65" s="10">
        <f t="shared" si="6"/>
        <v>116</v>
      </c>
      <c r="F65" s="6">
        <f>C65/1.07</f>
        <v>115.8878505</v>
      </c>
      <c r="G65" s="8">
        <v>0.02</v>
      </c>
      <c r="H65" s="7">
        <f t="shared" si="3"/>
        <v>2.317757009</v>
      </c>
      <c r="I65" s="8">
        <v>0.035</v>
      </c>
      <c r="J65" s="9">
        <f t="shared" si="4"/>
        <v>3.974953271</v>
      </c>
      <c r="K65" s="9">
        <f t="shared" si="5"/>
        <v>109.5951402</v>
      </c>
    </row>
    <row r="66">
      <c r="G66" s="11"/>
    </row>
    <row r="67">
      <c r="G67" s="11"/>
    </row>
    <row r="68">
      <c r="G68" s="11"/>
    </row>
    <row r="69">
      <c r="G69" s="11"/>
    </row>
    <row r="70">
      <c r="G70" s="11"/>
    </row>
    <row r="71">
      <c r="G71" s="11"/>
    </row>
    <row r="72">
      <c r="G72" s="11"/>
    </row>
    <row r="73">
      <c r="G73" s="11"/>
    </row>
    <row r="74">
      <c r="G74" s="11"/>
    </row>
    <row r="75">
      <c r="G75" s="11"/>
    </row>
    <row r="76">
      <c r="G76" s="11"/>
    </row>
    <row r="77">
      <c r="G77" s="11"/>
    </row>
    <row r="78">
      <c r="G78" s="11"/>
    </row>
    <row r="79">
      <c r="G79" s="11"/>
    </row>
    <row r="80">
      <c r="G80" s="11"/>
    </row>
    <row r="81">
      <c r="G81" s="11"/>
    </row>
    <row r="82">
      <c r="G82" s="11"/>
    </row>
    <row r="83">
      <c r="G83" s="11"/>
    </row>
    <row r="84">
      <c r="G84" s="11"/>
    </row>
    <row r="85">
      <c r="G85" s="11"/>
    </row>
    <row r="86">
      <c r="G86" s="11"/>
    </row>
    <row r="87">
      <c r="G87" s="11"/>
    </row>
    <row r="88">
      <c r="G88" s="11"/>
    </row>
    <row r="89">
      <c r="G89" s="11"/>
    </row>
    <row r="90">
      <c r="G90" s="11"/>
    </row>
    <row r="91">
      <c r="G91" s="11"/>
    </row>
    <row r="92">
      <c r="G92" s="11"/>
    </row>
    <row r="93">
      <c r="G93" s="11"/>
    </row>
    <row r="94">
      <c r="G94" s="11"/>
    </row>
    <row r="95">
      <c r="G95" s="11"/>
    </row>
    <row r="96">
      <c r="G96" s="11"/>
    </row>
    <row r="97">
      <c r="G97" s="11"/>
    </row>
    <row r="98">
      <c r="G98" s="11"/>
    </row>
    <row r="99">
      <c r="G99" s="11"/>
    </row>
    <row r="100">
      <c r="G100" s="11"/>
    </row>
    <row r="101">
      <c r="G101" s="11"/>
    </row>
    <row r="102">
      <c r="G102" s="11"/>
    </row>
    <row r="103">
      <c r="G103" s="11"/>
    </row>
    <row r="104">
      <c r="G104" s="11"/>
    </row>
    <row r="105">
      <c r="G105" s="11"/>
    </row>
    <row r="106">
      <c r="G106" s="11"/>
    </row>
    <row r="107">
      <c r="G107" s="11"/>
    </row>
    <row r="108">
      <c r="G108" s="11"/>
    </row>
    <row r="109">
      <c r="G109" s="11"/>
    </row>
    <row r="110">
      <c r="G110" s="11"/>
    </row>
    <row r="111">
      <c r="G111" s="11"/>
    </row>
    <row r="112">
      <c r="G112" s="11"/>
    </row>
    <row r="113">
      <c r="G113" s="11"/>
    </row>
    <row r="114">
      <c r="G114" s="11"/>
    </row>
    <row r="115">
      <c r="G115" s="11"/>
    </row>
    <row r="116">
      <c r="G116" s="11"/>
    </row>
    <row r="117">
      <c r="G117" s="11"/>
    </row>
    <row r="118">
      <c r="G118" s="11"/>
    </row>
    <row r="119">
      <c r="G119" s="11"/>
    </row>
    <row r="120">
      <c r="G120" s="11"/>
    </row>
    <row r="121">
      <c r="G121" s="11"/>
    </row>
    <row r="122">
      <c r="G122" s="11"/>
    </row>
    <row r="123">
      <c r="G123" s="11"/>
    </row>
    <row r="124">
      <c r="G124" s="11"/>
    </row>
    <row r="125">
      <c r="G125" s="11"/>
    </row>
    <row r="126">
      <c r="G126" s="11"/>
    </row>
    <row r="127">
      <c r="G127" s="11"/>
    </row>
    <row r="128">
      <c r="G128" s="11"/>
    </row>
    <row r="129">
      <c r="G129" s="11"/>
    </row>
    <row r="130">
      <c r="G130" s="11"/>
    </row>
    <row r="131">
      <c r="G131" s="11"/>
    </row>
    <row r="132">
      <c r="G132" s="11"/>
    </row>
    <row r="133">
      <c r="G133" s="11"/>
    </row>
    <row r="134">
      <c r="G134" s="11"/>
    </row>
    <row r="135">
      <c r="G135" s="11"/>
    </row>
    <row r="136">
      <c r="G136" s="11"/>
    </row>
    <row r="137">
      <c r="G137" s="11"/>
    </row>
    <row r="138">
      <c r="G138" s="11"/>
    </row>
    <row r="139">
      <c r="G139" s="11"/>
    </row>
    <row r="140">
      <c r="G140" s="11"/>
    </row>
    <row r="141">
      <c r="G141" s="11"/>
    </row>
    <row r="142">
      <c r="G142" s="11"/>
    </row>
    <row r="143">
      <c r="G143" s="11"/>
    </row>
    <row r="144">
      <c r="G144" s="11"/>
    </row>
    <row r="145">
      <c r="G145" s="11"/>
    </row>
    <row r="146">
      <c r="G146" s="11"/>
    </row>
    <row r="147">
      <c r="G147" s="11"/>
    </row>
    <row r="148">
      <c r="G148" s="11"/>
    </row>
    <row r="149">
      <c r="G149" s="11"/>
    </row>
    <row r="150">
      <c r="G150" s="11"/>
    </row>
    <row r="151">
      <c r="G151" s="11"/>
    </row>
    <row r="152">
      <c r="G152" s="11"/>
    </row>
    <row r="153">
      <c r="G153" s="11"/>
    </row>
    <row r="154">
      <c r="G154" s="11"/>
    </row>
    <row r="155">
      <c r="G155" s="11"/>
    </row>
    <row r="156">
      <c r="G156" s="11"/>
    </row>
    <row r="157">
      <c r="G157" s="11"/>
    </row>
    <row r="158">
      <c r="G158" s="11"/>
    </row>
    <row r="159">
      <c r="G159" s="11"/>
    </row>
    <row r="160">
      <c r="G160" s="11"/>
    </row>
    <row r="161">
      <c r="G161" s="11"/>
    </row>
    <row r="162">
      <c r="G162" s="11"/>
    </row>
    <row r="163">
      <c r="G163" s="11"/>
    </row>
    <row r="164">
      <c r="G164" s="11"/>
    </row>
    <row r="165">
      <c r="G165" s="11"/>
    </row>
    <row r="166">
      <c r="G166" s="11"/>
    </row>
    <row r="167">
      <c r="G167" s="11"/>
    </row>
    <row r="168">
      <c r="G168" s="11"/>
    </row>
    <row r="169">
      <c r="G169" s="11"/>
    </row>
    <row r="170">
      <c r="G170" s="11"/>
    </row>
    <row r="171">
      <c r="G171" s="11"/>
    </row>
    <row r="172">
      <c r="G172" s="11"/>
    </row>
    <row r="173">
      <c r="G173" s="11"/>
    </row>
    <row r="174">
      <c r="G174" s="11"/>
    </row>
    <row r="175">
      <c r="G175" s="11"/>
    </row>
    <row r="176">
      <c r="G176" s="11"/>
    </row>
    <row r="177">
      <c r="G177" s="11"/>
    </row>
    <row r="178">
      <c r="G178" s="11"/>
    </row>
    <row r="179">
      <c r="G179" s="11"/>
    </row>
    <row r="180">
      <c r="G180" s="11"/>
    </row>
    <row r="181">
      <c r="G181" s="11"/>
    </row>
    <row r="182">
      <c r="G182" s="11"/>
    </row>
    <row r="183">
      <c r="G183" s="11"/>
    </row>
    <row r="184">
      <c r="G184" s="11"/>
    </row>
    <row r="185">
      <c r="G185" s="11"/>
    </row>
    <row r="186">
      <c r="G186" s="11"/>
    </row>
    <row r="187">
      <c r="G187" s="11"/>
    </row>
    <row r="188">
      <c r="G188" s="11"/>
    </row>
    <row r="189">
      <c r="G189" s="11"/>
    </row>
    <row r="190">
      <c r="G190" s="11"/>
    </row>
    <row r="191">
      <c r="G191" s="11"/>
    </row>
    <row r="192">
      <c r="G192" s="11"/>
    </row>
    <row r="193">
      <c r="G193" s="11"/>
    </row>
    <row r="194">
      <c r="G194" s="11"/>
    </row>
    <row r="195">
      <c r="G195" s="11"/>
    </row>
    <row r="196">
      <c r="G196" s="11"/>
    </row>
    <row r="197">
      <c r="G197" s="11"/>
    </row>
    <row r="198">
      <c r="G198" s="11"/>
    </row>
    <row r="199">
      <c r="G199" s="11"/>
    </row>
    <row r="200">
      <c r="G200" s="11"/>
    </row>
    <row r="201">
      <c r="G201" s="11"/>
    </row>
    <row r="202">
      <c r="G202" s="11"/>
    </row>
    <row r="203">
      <c r="G203" s="11"/>
    </row>
    <row r="204">
      <c r="G204" s="11"/>
    </row>
    <row r="205">
      <c r="G205" s="11"/>
    </row>
    <row r="206">
      <c r="G206" s="11"/>
    </row>
    <row r="207">
      <c r="G207" s="11"/>
    </row>
    <row r="208">
      <c r="G208" s="11"/>
    </row>
    <row r="209">
      <c r="G209" s="11"/>
    </row>
    <row r="210">
      <c r="G210" s="11"/>
    </row>
    <row r="211">
      <c r="G211" s="11"/>
    </row>
    <row r="212">
      <c r="G212" s="11"/>
    </row>
    <row r="213">
      <c r="G213" s="11"/>
    </row>
    <row r="214">
      <c r="G214" s="11"/>
    </row>
    <row r="215">
      <c r="G215" s="11"/>
    </row>
    <row r="216">
      <c r="G216" s="11"/>
    </row>
    <row r="217">
      <c r="G217" s="11"/>
    </row>
    <row r="218">
      <c r="G218" s="11"/>
    </row>
    <row r="219">
      <c r="G219" s="11"/>
    </row>
    <row r="220">
      <c r="G220" s="11"/>
    </row>
    <row r="221">
      <c r="G221" s="11"/>
    </row>
    <row r="222">
      <c r="G222" s="11"/>
    </row>
    <row r="223">
      <c r="G223" s="11"/>
    </row>
    <row r="224">
      <c r="G224" s="11"/>
    </row>
    <row r="225">
      <c r="G225" s="11"/>
    </row>
    <row r="226">
      <c r="G226" s="11"/>
    </row>
    <row r="227">
      <c r="G227" s="11"/>
    </row>
    <row r="228">
      <c r="G228" s="11"/>
    </row>
    <row r="229">
      <c r="G229" s="11"/>
    </row>
    <row r="230">
      <c r="G230" s="11"/>
    </row>
    <row r="231">
      <c r="G231" s="11"/>
    </row>
    <row r="232">
      <c r="G232" s="11"/>
    </row>
    <row r="233">
      <c r="G233" s="11"/>
    </row>
    <row r="234">
      <c r="G234" s="11"/>
    </row>
    <row r="235">
      <c r="G235" s="11"/>
    </row>
    <row r="236">
      <c r="G236" s="11"/>
    </row>
    <row r="237">
      <c r="G237" s="11"/>
    </row>
    <row r="238">
      <c r="G238" s="11"/>
    </row>
    <row r="239">
      <c r="G239" s="11"/>
    </row>
    <row r="240">
      <c r="G240" s="11"/>
    </row>
    <row r="241">
      <c r="G241" s="11"/>
    </row>
    <row r="242">
      <c r="G242" s="11"/>
    </row>
    <row r="243">
      <c r="G243" s="11"/>
    </row>
    <row r="244">
      <c r="G244" s="11"/>
    </row>
    <row r="245">
      <c r="G245" s="11"/>
    </row>
    <row r="246">
      <c r="G246" s="11"/>
    </row>
    <row r="247">
      <c r="G247" s="11"/>
    </row>
    <row r="248">
      <c r="G248" s="11"/>
    </row>
    <row r="249">
      <c r="G249" s="11"/>
    </row>
    <row r="250">
      <c r="G250" s="11"/>
    </row>
    <row r="251">
      <c r="G251" s="11"/>
    </row>
    <row r="252">
      <c r="G252" s="11"/>
    </row>
    <row r="253">
      <c r="G253" s="11"/>
    </row>
    <row r="254">
      <c r="G254" s="11"/>
    </row>
    <row r="255">
      <c r="G255" s="11"/>
    </row>
    <row r="256">
      <c r="G256" s="11"/>
    </row>
    <row r="257">
      <c r="G257" s="11"/>
    </row>
    <row r="258">
      <c r="G258" s="11"/>
    </row>
    <row r="259">
      <c r="G259" s="11"/>
    </row>
    <row r="260">
      <c r="G260" s="11"/>
    </row>
    <row r="261">
      <c r="G261" s="11"/>
    </row>
    <row r="262">
      <c r="G262" s="11"/>
    </row>
    <row r="263">
      <c r="G263" s="11"/>
    </row>
    <row r="264">
      <c r="G264" s="11"/>
    </row>
    <row r="265">
      <c r="G265" s="11"/>
    </row>
    <row r="266">
      <c r="G266" s="11"/>
    </row>
    <row r="267">
      <c r="G267" s="11"/>
    </row>
    <row r="268">
      <c r="G268" s="11"/>
    </row>
    <row r="269">
      <c r="G269" s="11"/>
    </row>
    <row r="270">
      <c r="G270" s="11"/>
    </row>
    <row r="271">
      <c r="G271" s="11"/>
    </row>
    <row r="272">
      <c r="G272" s="11"/>
    </row>
    <row r="273">
      <c r="G273" s="11"/>
    </row>
    <row r="274">
      <c r="G274" s="11"/>
    </row>
    <row r="275">
      <c r="G275" s="11"/>
    </row>
    <row r="276">
      <c r="G276" s="11"/>
    </row>
    <row r="277">
      <c r="G277" s="11"/>
    </row>
    <row r="278">
      <c r="G278" s="11"/>
    </row>
    <row r="279">
      <c r="G279" s="11"/>
    </row>
    <row r="280">
      <c r="G280" s="11"/>
    </row>
    <row r="281">
      <c r="G281" s="11"/>
    </row>
    <row r="282">
      <c r="G282" s="11"/>
    </row>
    <row r="283">
      <c r="G283" s="11"/>
    </row>
    <row r="284">
      <c r="G284" s="11"/>
    </row>
    <row r="285">
      <c r="G285" s="11"/>
    </row>
    <row r="286">
      <c r="G286" s="11"/>
    </row>
    <row r="287">
      <c r="G287" s="11"/>
    </row>
    <row r="288">
      <c r="G288" s="11"/>
    </row>
    <row r="289">
      <c r="G289" s="11"/>
    </row>
    <row r="290">
      <c r="G290" s="11"/>
    </row>
    <row r="291">
      <c r="G291" s="11"/>
    </row>
    <row r="292">
      <c r="G292" s="11"/>
    </row>
    <row r="293">
      <c r="G293" s="11"/>
    </row>
    <row r="294">
      <c r="G294" s="11"/>
    </row>
    <row r="295">
      <c r="G295" s="11"/>
    </row>
    <row r="296">
      <c r="G296" s="11"/>
    </row>
    <row r="297">
      <c r="G297" s="11"/>
    </row>
    <row r="298">
      <c r="G298" s="11"/>
    </row>
    <row r="299">
      <c r="G299" s="11"/>
    </row>
    <row r="300">
      <c r="G300" s="11"/>
    </row>
    <row r="301">
      <c r="G301" s="11"/>
    </row>
    <row r="302">
      <c r="G302" s="11"/>
    </row>
    <row r="303">
      <c r="G303" s="11"/>
    </row>
    <row r="304">
      <c r="G304" s="11"/>
    </row>
    <row r="305">
      <c r="G305" s="11"/>
    </row>
    <row r="306">
      <c r="G306" s="11"/>
    </row>
    <row r="307">
      <c r="G307" s="11"/>
    </row>
    <row r="308">
      <c r="G308" s="11"/>
    </row>
    <row r="309">
      <c r="G309" s="11"/>
    </row>
    <row r="310">
      <c r="G310" s="11"/>
    </row>
    <row r="311">
      <c r="G311" s="11"/>
    </row>
    <row r="312">
      <c r="G312" s="11"/>
    </row>
    <row r="313">
      <c r="G313" s="11"/>
    </row>
    <row r="314">
      <c r="G314" s="11"/>
    </row>
    <row r="315">
      <c r="G315" s="11"/>
    </row>
    <row r="316">
      <c r="G316" s="11"/>
    </row>
    <row r="317">
      <c r="G317" s="11"/>
    </row>
    <row r="318">
      <c r="G318" s="11"/>
    </row>
    <row r="319">
      <c r="G319" s="11"/>
    </row>
    <row r="320">
      <c r="G320" s="11"/>
    </row>
    <row r="321">
      <c r="G321" s="11"/>
    </row>
    <row r="322">
      <c r="G322" s="11"/>
    </row>
    <row r="323">
      <c r="G323" s="11"/>
    </row>
    <row r="324">
      <c r="G324" s="11"/>
    </row>
    <row r="325">
      <c r="G325" s="11"/>
    </row>
    <row r="326">
      <c r="G326" s="11"/>
    </row>
    <row r="327">
      <c r="G327" s="11"/>
    </row>
    <row r="328">
      <c r="G328" s="11"/>
    </row>
    <row r="329">
      <c r="G329" s="11"/>
    </row>
    <row r="330">
      <c r="G330" s="11"/>
    </row>
    <row r="331">
      <c r="G331" s="11"/>
    </row>
    <row r="332">
      <c r="G332" s="11"/>
    </row>
    <row r="333">
      <c r="G333" s="11"/>
    </row>
    <row r="334">
      <c r="G334" s="11"/>
    </row>
    <row r="335">
      <c r="G335" s="11"/>
    </row>
    <row r="336">
      <c r="G336" s="11"/>
    </row>
    <row r="337">
      <c r="G337" s="11"/>
    </row>
    <row r="338">
      <c r="G338" s="11"/>
    </row>
    <row r="339">
      <c r="G339" s="11"/>
    </row>
    <row r="340">
      <c r="G340" s="11"/>
    </row>
    <row r="341">
      <c r="G341" s="11"/>
    </row>
    <row r="342">
      <c r="G342" s="11"/>
    </row>
    <row r="343">
      <c r="G343" s="11"/>
    </row>
    <row r="344">
      <c r="G344" s="11"/>
    </row>
    <row r="345">
      <c r="G345" s="11"/>
    </row>
    <row r="346">
      <c r="G346" s="11"/>
    </row>
    <row r="347">
      <c r="G347" s="11"/>
    </row>
    <row r="348">
      <c r="G348" s="11"/>
    </row>
    <row r="349">
      <c r="G349" s="11"/>
    </row>
    <row r="350">
      <c r="G350" s="11"/>
    </row>
    <row r="351">
      <c r="G351" s="11"/>
    </row>
    <row r="352">
      <c r="G352" s="11"/>
    </row>
    <row r="353">
      <c r="G353" s="11"/>
    </row>
    <row r="354">
      <c r="G354" s="11"/>
    </row>
    <row r="355">
      <c r="G355" s="11"/>
    </row>
    <row r="356">
      <c r="G356" s="11"/>
    </row>
    <row r="357">
      <c r="G357" s="11"/>
    </row>
    <row r="358">
      <c r="G358" s="11"/>
    </row>
    <row r="359">
      <c r="G359" s="11"/>
    </row>
    <row r="360">
      <c r="G360" s="11"/>
    </row>
    <row r="361">
      <c r="G361" s="11"/>
    </row>
    <row r="362">
      <c r="G362" s="11"/>
    </row>
    <row r="363">
      <c r="G363" s="11"/>
    </row>
    <row r="364">
      <c r="G364" s="11"/>
    </row>
    <row r="365">
      <c r="G365" s="11"/>
    </row>
    <row r="366">
      <c r="G366" s="11"/>
    </row>
    <row r="367">
      <c r="G367" s="11"/>
    </row>
    <row r="368">
      <c r="G368" s="11"/>
    </row>
    <row r="369">
      <c r="G369" s="11"/>
    </row>
    <row r="370">
      <c r="G370" s="11"/>
    </row>
    <row r="371">
      <c r="G371" s="11"/>
    </row>
    <row r="372">
      <c r="G372" s="11"/>
    </row>
    <row r="373">
      <c r="G373" s="11"/>
    </row>
    <row r="374">
      <c r="G374" s="11"/>
    </row>
    <row r="375">
      <c r="G375" s="11"/>
    </row>
    <row r="376">
      <c r="G376" s="11"/>
    </row>
    <row r="377">
      <c r="G377" s="11"/>
    </row>
    <row r="378">
      <c r="G378" s="11"/>
    </row>
    <row r="379">
      <c r="G379" s="11"/>
    </row>
    <row r="380">
      <c r="G380" s="11"/>
    </row>
    <row r="381">
      <c r="G381" s="11"/>
    </row>
    <row r="382">
      <c r="G382" s="11"/>
    </row>
    <row r="383">
      <c r="G383" s="11"/>
    </row>
    <row r="384">
      <c r="G384" s="11"/>
    </row>
    <row r="385">
      <c r="G385" s="11"/>
    </row>
    <row r="386">
      <c r="G386" s="11"/>
    </row>
    <row r="387">
      <c r="G387" s="11"/>
    </row>
    <row r="388">
      <c r="G388" s="11"/>
    </row>
    <row r="389">
      <c r="G389" s="11"/>
    </row>
    <row r="390">
      <c r="G390" s="11"/>
    </row>
    <row r="391">
      <c r="G391" s="11"/>
    </row>
    <row r="392">
      <c r="G392" s="11"/>
    </row>
    <row r="393">
      <c r="G393" s="11"/>
    </row>
    <row r="394">
      <c r="G394" s="11"/>
    </row>
    <row r="395">
      <c r="G395" s="11"/>
    </row>
    <row r="396">
      <c r="G396" s="11"/>
    </row>
    <row r="397">
      <c r="G397" s="11"/>
    </row>
    <row r="398">
      <c r="G398" s="11"/>
    </row>
    <row r="399">
      <c r="G399" s="11"/>
    </row>
    <row r="400">
      <c r="G400" s="11"/>
    </row>
    <row r="401">
      <c r="G401" s="11"/>
    </row>
    <row r="402">
      <c r="G402" s="11"/>
    </row>
    <row r="403">
      <c r="G403" s="11"/>
    </row>
    <row r="404">
      <c r="G404" s="11"/>
    </row>
    <row r="405">
      <c r="G405" s="11"/>
    </row>
    <row r="406">
      <c r="G406" s="11"/>
    </row>
    <row r="407">
      <c r="G407" s="11"/>
    </row>
    <row r="408">
      <c r="G408" s="11"/>
    </row>
    <row r="409">
      <c r="G409" s="11"/>
    </row>
    <row r="410">
      <c r="G410" s="11"/>
    </row>
    <row r="411">
      <c r="G411" s="11"/>
    </row>
    <row r="412">
      <c r="G412" s="11"/>
    </row>
    <row r="413">
      <c r="G413" s="11"/>
    </row>
    <row r="414">
      <c r="G414" s="11"/>
    </row>
    <row r="415">
      <c r="G415" s="11"/>
    </row>
    <row r="416">
      <c r="G416" s="11"/>
    </row>
    <row r="417">
      <c r="G417" s="11"/>
    </row>
    <row r="418">
      <c r="G418" s="11"/>
    </row>
    <row r="419">
      <c r="G419" s="11"/>
    </row>
    <row r="420">
      <c r="G420" s="11"/>
    </row>
    <row r="421">
      <c r="G421" s="11"/>
    </row>
    <row r="422">
      <c r="G422" s="11"/>
    </row>
    <row r="423">
      <c r="G423" s="11"/>
    </row>
    <row r="424">
      <c r="G424" s="11"/>
    </row>
    <row r="425">
      <c r="G425" s="11"/>
    </row>
    <row r="426">
      <c r="G426" s="11"/>
    </row>
    <row r="427">
      <c r="G427" s="11"/>
    </row>
    <row r="428">
      <c r="G428" s="11"/>
    </row>
    <row r="429">
      <c r="G429" s="11"/>
    </row>
    <row r="430">
      <c r="G430" s="11"/>
    </row>
    <row r="431">
      <c r="G431" s="11"/>
    </row>
    <row r="432">
      <c r="G432" s="11"/>
    </row>
    <row r="433">
      <c r="G433" s="11"/>
    </row>
    <row r="434">
      <c r="G434" s="11"/>
    </row>
    <row r="435">
      <c r="G435" s="11"/>
    </row>
    <row r="436">
      <c r="G436" s="11"/>
    </row>
    <row r="437">
      <c r="G437" s="11"/>
    </row>
    <row r="438">
      <c r="G438" s="11"/>
    </row>
    <row r="439">
      <c r="G439" s="11"/>
    </row>
    <row r="440">
      <c r="G440" s="11"/>
    </row>
    <row r="441">
      <c r="G441" s="11"/>
    </row>
    <row r="442">
      <c r="G442" s="11"/>
    </row>
    <row r="443">
      <c r="G443" s="11"/>
    </row>
    <row r="444">
      <c r="G444" s="11"/>
    </row>
    <row r="445">
      <c r="G445" s="11"/>
    </row>
    <row r="446">
      <c r="G446" s="11"/>
    </row>
    <row r="447">
      <c r="G447" s="11"/>
    </row>
    <row r="448">
      <c r="G448" s="11"/>
    </row>
    <row r="449">
      <c r="G449" s="11"/>
    </row>
    <row r="450">
      <c r="G450" s="11"/>
    </row>
    <row r="451">
      <c r="G451" s="11"/>
    </row>
    <row r="452">
      <c r="G452" s="11"/>
    </row>
    <row r="453">
      <c r="G453" s="11"/>
    </row>
    <row r="454">
      <c r="G454" s="11"/>
    </row>
    <row r="455">
      <c r="G455" s="11"/>
    </row>
    <row r="456">
      <c r="G456" s="11"/>
    </row>
    <row r="457">
      <c r="G457" s="11"/>
    </row>
    <row r="458">
      <c r="G458" s="11"/>
    </row>
    <row r="459">
      <c r="G459" s="11"/>
    </row>
    <row r="460">
      <c r="G460" s="11"/>
    </row>
    <row r="461">
      <c r="G461" s="11"/>
    </row>
    <row r="462">
      <c r="G462" s="11"/>
    </row>
    <row r="463">
      <c r="G463" s="11"/>
    </row>
    <row r="464">
      <c r="G464" s="11"/>
    </row>
    <row r="465">
      <c r="G465" s="11"/>
    </row>
    <row r="466">
      <c r="G466" s="11"/>
    </row>
    <row r="467">
      <c r="G467" s="11"/>
    </row>
    <row r="468">
      <c r="G468" s="11"/>
    </row>
    <row r="469">
      <c r="G469" s="11"/>
    </row>
    <row r="470">
      <c r="G470" s="11"/>
    </row>
    <row r="471">
      <c r="G471" s="11"/>
    </row>
    <row r="472">
      <c r="G472" s="11"/>
    </row>
    <row r="473">
      <c r="G473" s="11"/>
    </row>
    <row r="474">
      <c r="G474" s="11"/>
    </row>
    <row r="475">
      <c r="G475" s="11"/>
    </row>
    <row r="476">
      <c r="G476" s="11"/>
    </row>
    <row r="477">
      <c r="G477" s="11"/>
    </row>
    <row r="478">
      <c r="G478" s="11"/>
    </row>
    <row r="479">
      <c r="G479" s="11"/>
    </row>
    <row r="480">
      <c r="G480" s="11"/>
    </row>
    <row r="481">
      <c r="G481" s="11"/>
    </row>
    <row r="482">
      <c r="G482" s="11"/>
    </row>
    <row r="483">
      <c r="G483" s="11"/>
    </row>
    <row r="484">
      <c r="G484" s="11"/>
    </row>
    <row r="485">
      <c r="G485" s="11"/>
    </row>
    <row r="486">
      <c r="G486" s="11"/>
    </row>
    <row r="487">
      <c r="G487" s="11"/>
    </row>
    <row r="488">
      <c r="G488" s="11"/>
    </row>
    <row r="489">
      <c r="G489" s="11"/>
    </row>
    <row r="490">
      <c r="G490" s="11"/>
    </row>
    <row r="491">
      <c r="G491" s="11"/>
    </row>
    <row r="492">
      <c r="G492" s="11"/>
    </row>
    <row r="493">
      <c r="G493" s="11"/>
    </row>
    <row r="494">
      <c r="G494" s="11"/>
    </row>
    <row r="495">
      <c r="G495" s="11"/>
    </row>
    <row r="496">
      <c r="G496" s="11"/>
    </row>
    <row r="497">
      <c r="G497" s="11"/>
    </row>
    <row r="498">
      <c r="G498" s="11"/>
    </row>
    <row r="499">
      <c r="G499" s="11"/>
    </row>
    <row r="500">
      <c r="G500" s="11"/>
    </row>
    <row r="501">
      <c r="G501" s="11"/>
    </row>
    <row r="502">
      <c r="G502" s="11"/>
    </row>
    <row r="503">
      <c r="G503" s="11"/>
    </row>
    <row r="504">
      <c r="G504" s="11"/>
    </row>
    <row r="505">
      <c r="G505" s="11"/>
    </row>
    <row r="506">
      <c r="G506" s="11"/>
    </row>
    <row r="507">
      <c r="G507" s="11"/>
    </row>
    <row r="508">
      <c r="G508" s="11"/>
    </row>
    <row r="509">
      <c r="G509" s="11"/>
    </row>
    <row r="510">
      <c r="G510" s="11"/>
    </row>
    <row r="511">
      <c r="G511" s="11"/>
    </row>
    <row r="512">
      <c r="G512" s="11"/>
    </row>
    <row r="513">
      <c r="G513" s="11"/>
    </row>
    <row r="514">
      <c r="G514" s="11"/>
    </row>
    <row r="515">
      <c r="G515" s="11"/>
    </row>
    <row r="516">
      <c r="G516" s="11"/>
    </row>
    <row r="517">
      <c r="G517" s="11"/>
    </row>
    <row r="518">
      <c r="G518" s="11"/>
    </row>
    <row r="519">
      <c r="G519" s="11"/>
    </row>
    <row r="520">
      <c r="G520" s="11"/>
    </row>
    <row r="521">
      <c r="G521" s="11"/>
    </row>
    <row r="522">
      <c r="G522" s="11"/>
    </row>
    <row r="523">
      <c r="G523" s="11"/>
    </row>
    <row r="524">
      <c r="G524" s="11"/>
    </row>
    <row r="525">
      <c r="G525" s="11"/>
    </row>
    <row r="526">
      <c r="G526" s="11"/>
    </row>
    <row r="527">
      <c r="G527" s="11"/>
    </row>
    <row r="528">
      <c r="G528" s="11"/>
    </row>
    <row r="529">
      <c r="G529" s="11"/>
    </row>
    <row r="530">
      <c r="G530" s="11"/>
    </row>
    <row r="531">
      <c r="G531" s="11"/>
    </row>
    <row r="532">
      <c r="G532" s="11"/>
    </row>
    <row r="533">
      <c r="G533" s="11"/>
    </row>
    <row r="534">
      <c r="G534" s="11"/>
    </row>
    <row r="535">
      <c r="G535" s="11"/>
    </row>
    <row r="536">
      <c r="G536" s="11"/>
    </row>
    <row r="537">
      <c r="G537" s="11"/>
    </row>
    <row r="538">
      <c r="G538" s="11"/>
    </row>
    <row r="539">
      <c r="G539" s="11"/>
    </row>
    <row r="540">
      <c r="G540" s="11"/>
    </row>
    <row r="541">
      <c r="G541" s="11"/>
    </row>
    <row r="542">
      <c r="G542" s="11"/>
    </row>
    <row r="543">
      <c r="G543" s="11"/>
    </row>
    <row r="544">
      <c r="G544" s="11"/>
    </row>
    <row r="545">
      <c r="G545" s="11"/>
    </row>
    <row r="546">
      <c r="G546" s="11"/>
    </row>
    <row r="547">
      <c r="G547" s="11"/>
    </row>
    <row r="548">
      <c r="G548" s="11"/>
    </row>
    <row r="549">
      <c r="G549" s="11"/>
    </row>
    <row r="550">
      <c r="G550" s="11"/>
    </row>
    <row r="551">
      <c r="G551" s="11"/>
    </row>
    <row r="552">
      <c r="G552" s="11"/>
    </row>
    <row r="553">
      <c r="G553" s="11"/>
    </row>
    <row r="554">
      <c r="G554" s="11"/>
    </row>
    <row r="555">
      <c r="G555" s="11"/>
    </row>
    <row r="556">
      <c r="G556" s="11"/>
    </row>
    <row r="557">
      <c r="G557" s="11"/>
    </row>
    <row r="558">
      <c r="G558" s="11"/>
    </row>
    <row r="559">
      <c r="G559" s="11"/>
    </row>
    <row r="560">
      <c r="G560" s="11"/>
    </row>
    <row r="561">
      <c r="G561" s="11"/>
    </row>
    <row r="562">
      <c r="G562" s="11"/>
    </row>
    <row r="563">
      <c r="G563" s="11"/>
    </row>
    <row r="564">
      <c r="G564" s="11"/>
    </row>
    <row r="565">
      <c r="G565" s="11"/>
    </row>
    <row r="566">
      <c r="G566" s="11"/>
    </row>
    <row r="567">
      <c r="G567" s="11"/>
    </row>
    <row r="568">
      <c r="G568" s="11"/>
    </row>
    <row r="569">
      <c r="G569" s="11"/>
    </row>
    <row r="570">
      <c r="G570" s="11"/>
    </row>
    <row r="571">
      <c r="G571" s="11"/>
    </row>
    <row r="572">
      <c r="G572" s="11"/>
    </row>
    <row r="573">
      <c r="G573" s="11"/>
    </row>
    <row r="574">
      <c r="G574" s="11"/>
    </row>
    <row r="575">
      <c r="G575" s="11"/>
    </row>
    <row r="576">
      <c r="G576" s="11"/>
    </row>
    <row r="577">
      <c r="G577" s="11"/>
    </row>
    <row r="578">
      <c r="G578" s="11"/>
    </row>
    <row r="579">
      <c r="G579" s="11"/>
    </row>
    <row r="580">
      <c r="G580" s="11"/>
    </row>
    <row r="581">
      <c r="G581" s="11"/>
    </row>
    <row r="582">
      <c r="G582" s="11"/>
    </row>
    <row r="583">
      <c r="G583" s="11"/>
    </row>
    <row r="584">
      <c r="G584" s="11"/>
    </row>
    <row r="585">
      <c r="G585" s="11"/>
    </row>
    <row r="586">
      <c r="G586" s="11"/>
    </row>
    <row r="587">
      <c r="G587" s="11"/>
    </row>
    <row r="588">
      <c r="G588" s="11"/>
    </row>
    <row r="589">
      <c r="G589" s="11"/>
    </row>
    <row r="590">
      <c r="G590" s="11"/>
    </row>
    <row r="591">
      <c r="G591" s="11"/>
    </row>
    <row r="592">
      <c r="G592" s="11"/>
    </row>
    <row r="593">
      <c r="G593" s="11"/>
    </row>
    <row r="594">
      <c r="G594" s="11"/>
    </row>
    <row r="595">
      <c r="G595" s="11"/>
    </row>
    <row r="596">
      <c r="G596" s="11"/>
    </row>
    <row r="597">
      <c r="G597" s="11"/>
    </row>
    <row r="598">
      <c r="G598" s="11"/>
    </row>
    <row r="599">
      <c r="G599" s="11"/>
    </row>
    <row r="600">
      <c r="G600" s="11"/>
    </row>
    <row r="601">
      <c r="G601" s="11"/>
    </row>
    <row r="602">
      <c r="G602" s="11"/>
    </row>
    <row r="603">
      <c r="G603" s="11"/>
    </row>
    <row r="604">
      <c r="G604" s="11"/>
    </row>
    <row r="605">
      <c r="G605" s="11"/>
    </row>
    <row r="606">
      <c r="G606" s="11"/>
    </row>
    <row r="607">
      <c r="G607" s="11"/>
    </row>
    <row r="608">
      <c r="G608" s="11"/>
    </row>
    <row r="609">
      <c r="G609" s="11"/>
    </row>
    <row r="610">
      <c r="G610" s="11"/>
    </row>
    <row r="611">
      <c r="G611" s="11"/>
    </row>
    <row r="612">
      <c r="G612" s="11"/>
    </row>
    <row r="613">
      <c r="G613" s="11"/>
    </row>
    <row r="614">
      <c r="G614" s="11"/>
    </row>
    <row r="615">
      <c r="G615" s="11"/>
    </row>
    <row r="616">
      <c r="G616" s="11"/>
    </row>
    <row r="617">
      <c r="G617" s="11"/>
    </row>
    <row r="618">
      <c r="G618" s="11"/>
    </row>
    <row r="619">
      <c r="G619" s="11"/>
    </row>
    <row r="620">
      <c r="G620" s="11"/>
    </row>
    <row r="621">
      <c r="G621" s="11"/>
    </row>
    <row r="622">
      <c r="G622" s="11"/>
    </row>
    <row r="623">
      <c r="G623" s="11"/>
    </row>
    <row r="624">
      <c r="G624" s="11"/>
    </row>
    <row r="625">
      <c r="G625" s="11"/>
    </row>
    <row r="626">
      <c r="G626" s="11"/>
    </row>
    <row r="627">
      <c r="G627" s="11"/>
    </row>
    <row r="628">
      <c r="G628" s="11"/>
    </row>
    <row r="629">
      <c r="G629" s="11"/>
    </row>
    <row r="630">
      <c r="G630" s="11"/>
    </row>
    <row r="631">
      <c r="G631" s="11"/>
    </row>
    <row r="632">
      <c r="G632" s="11"/>
    </row>
    <row r="633">
      <c r="G633" s="11"/>
    </row>
    <row r="634">
      <c r="G634" s="11"/>
    </row>
    <row r="635">
      <c r="G635" s="11"/>
    </row>
    <row r="636">
      <c r="G636" s="11"/>
    </row>
    <row r="637">
      <c r="G637" s="11"/>
    </row>
    <row r="638">
      <c r="G638" s="11"/>
    </row>
    <row r="639">
      <c r="G639" s="11"/>
    </row>
    <row r="640">
      <c r="G640" s="11"/>
    </row>
    <row r="641">
      <c r="G641" s="11"/>
    </row>
    <row r="642">
      <c r="G642" s="11"/>
    </row>
    <row r="643">
      <c r="G643" s="11"/>
    </row>
    <row r="644">
      <c r="G644" s="11"/>
    </row>
    <row r="645">
      <c r="G645" s="11"/>
    </row>
    <row r="646">
      <c r="G646" s="11"/>
    </row>
    <row r="647">
      <c r="G647" s="11"/>
    </row>
    <row r="648">
      <c r="G648" s="11"/>
    </row>
    <row r="649">
      <c r="G649" s="11"/>
    </row>
    <row r="650">
      <c r="G650" s="11"/>
    </row>
    <row r="651">
      <c r="G651" s="11"/>
    </row>
    <row r="652">
      <c r="G652" s="11"/>
    </row>
    <row r="653">
      <c r="G653" s="11"/>
    </row>
    <row r="654">
      <c r="G654" s="11"/>
    </row>
    <row r="655">
      <c r="G655" s="11"/>
    </row>
    <row r="656">
      <c r="G656" s="11"/>
    </row>
    <row r="657">
      <c r="G657" s="11"/>
    </row>
    <row r="658">
      <c r="G658" s="11"/>
    </row>
    <row r="659">
      <c r="G659" s="11"/>
    </row>
    <row r="660">
      <c r="G660" s="11"/>
    </row>
    <row r="661">
      <c r="G661" s="11"/>
    </row>
    <row r="662">
      <c r="G662" s="11"/>
    </row>
    <row r="663">
      <c r="G663" s="11"/>
    </row>
    <row r="664">
      <c r="G664" s="11"/>
    </row>
    <row r="665">
      <c r="G665" s="11"/>
    </row>
    <row r="666">
      <c r="G666" s="11"/>
    </row>
    <row r="667">
      <c r="G667" s="11"/>
    </row>
    <row r="668">
      <c r="G668" s="11"/>
    </row>
    <row r="669">
      <c r="G669" s="11"/>
    </row>
    <row r="670">
      <c r="G670" s="11"/>
    </row>
    <row r="671">
      <c r="G671" s="11"/>
    </row>
    <row r="672">
      <c r="G672" s="11"/>
    </row>
    <row r="673">
      <c r="G673" s="11"/>
    </row>
    <row r="674">
      <c r="G674" s="11"/>
    </row>
    <row r="675">
      <c r="G675" s="11"/>
    </row>
    <row r="676">
      <c r="G676" s="11"/>
    </row>
    <row r="677">
      <c r="G677" s="11"/>
    </row>
    <row r="678">
      <c r="G678" s="11"/>
    </row>
    <row r="679">
      <c r="G679" s="11"/>
    </row>
    <row r="680">
      <c r="G680" s="11"/>
    </row>
    <row r="681">
      <c r="G681" s="11"/>
    </row>
    <row r="682">
      <c r="G682" s="11"/>
    </row>
    <row r="683">
      <c r="G683" s="11"/>
    </row>
    <row r="684">
      <c r="G684" s="11"/>
    </row>
    <row r="685">
      <c r="G685" s="11"/>
    </row>
    <row r="686">
      <c r="G686" s="11"/>
    </row>
    <row r="687">
      <c r="G687" s="11"/>
    </row>
    <row r="688">
      <c r="G688" s="11"/>
    </row>
    <row r="689">
      <c r="G689" s="11"/>
    </row>
    <row r="690">
      <c r="G690" s="11"/>
    </row>
    <row r="691">
      <c r="G691" s="11"/>
    </row>
    <row r="692">
      <c r="G692" s="11"/>
    </row>
    <row r="693">
      <c r="G693" s="11"/>
    </row>
    <row r="694">
      <c r="G694" s="11"/>
    </row>
    <row r="695">
      <c r="G695" s="11"/>
    </row>
    <row r="696">
      <c r="G696" s="11"/>
    </row>
    <row r="697">
      <c r="G697" s="11"/>
    </row>
    <row r="698">
      <c r="G698" s="11"/>
    </row>
    <row r="699">
      <c r="G699" s="11"/>
    </row>
    <row r="700">
      <c r="G700" s="11"/>
    </row>
    <row r="701">
      <c r="G701" s="11"/>
    </row>
    <row r="702">
      <c r="G702" s="11"/>
    </row>
    <row r="703">
      <c r="G703" s="11"/>
    </row>
    <row r="704">
      <c r="G704" s="11"/>
    </row>
    <row r="705">
      <c r="G705" s="11"/>
    </row>
    <row r="706">
      <c r="G706" s="11"/>
    </row>
    <row r="707">
      <c r="G707" s="11"/>
    </row>
    <row r="708">
      <c r="G708" s="11"/>
    </row>
    <row r="709">
      <c r="G709" s="11"/>
    </row>
    <row r="710">
      <c r="G710" s="11"/>
    </row>
    <row r="711">
      <c r="G711" s="11"/>
    </row>
    <row r="712">
      <c r="G712" s="11"/>
    </row>
    <row r="713">
      <c r="G713" s="11"/>
    </row>
    <row r="714">
      <c r="G714" s="11"/>
    </row>
    <row r="715">
      <c r="G715" s="11"/>
    </row>
    <row r="716">
      <c r="G716" s="11"/>
    </row>
    <row r="717">
      <c r="G717" s="11"/>
    </row>
    <row r="718">
      <c r="G718" s="11"/>
    </row>
    <row r="719">
      <c r="G719" s="11"/>
    </row>
    <row r="720">
      <c r="G720" s="11"/>
    </row>
    <row r="721">
      <c r="G721" s="11"/>
    </row>
    <row r="722">
      <c r="G722" s="11"/>
    </row>
    <row r="723">
      <c r="G723" s="11"/>
    </row>
    <row r="724">
      <c r="G724" s="11"/>
    </row>
    <row r="725">
      <c r="G725" s="11"/>
    </row>
    <row r="726">
      <c r="G726" s="11"/>
    </row>
    <row r="727">
      <c r="G727" s="11"/>
    </row>
    <row r="728">
      <c r="G728" s="11"/>
    </row>
    <row r="729">
      <c r="G729" s="11"/>
    </row>
    <row r="730">
      <c r="G730" s="11"/>
    </row>
    <row r="731">
      <c r="G731" s="11"/>
    </row>
    <row r="732">
      <c r="G732" s="11"/>
    </row>
    <row r="733">
      <c r="G733" s="11"/>
    </row>
    <row r="734">
      <c r="G734" s="11"/>
    </row>
    <row r="735">
      <c r="G735" s="11"/>
    </row>
    <row r="736">
      <c r="G736" s="11"/>
    </row>
    <row r="737">
      <c r="G737" s="11"/>
    </row>
    <row r="738">
      <c r="G738" s="11"/>
    </row>
    <row r="739">
      <c r="G739" s="11"/>
    </row>
    <row r="740">
      <c r="G740" s="11"/>
    </row>
    <row r="741">
      <c r="G741" s="11"/>
    </row>
    <row r="742">
      <c r="G742" s="11"/>
    </row>
    <row r="743">
      <c r="G743" s="11"/>
    </row>
    <row r="744">
      <c r="G744" s="11"/>
    </row>
    <row r="745">
      <c r="G745" s="11"/>
    </row>
    <row r="746">
      <c r="G746" s="11"/>
    </row>
    <row r="747">
      <c r="G747" s="11"/>
    </row>
    <row r="748">
      <c r="G748" s="11"/>
    </row>
    <row r="749">
      <c r="G749" s="11"/>
    </row>
    <row r="750">
      <c r="G750" s="11"/>
    </row>
    <row r="751">
      <c r="G751" s="11"/>
    </row>
    <row r="752">
      <c r="G752" s="11"/>
    </row>
    <row r="753">
      <c r="G753" s="11"/>
    </row>
    <row r="754">
      <c r="G754" s="11"/>
    </row>
    <row r="755">
      <c r="G755" s="11"/>
    </row>
    <row r="756">
      <c r="G756" s="11"/>
    </row>
    <row r="757">
      <c r="G757" s="11"/>
    </row>
    <row r="758">
      <c r="G758" s="11"/>
    </row>
    <row r="759">
      <c r="G759" s="11"/>
    </row>
    <row r="760">
      <c r="G760" s="11"/>
    </row>
    <row r="761">
      <c r="G761" s="11"/>
    </row>
    <row r="762">
      <c r="G762" s="11"/>
    </row>
    <row r="763">
      <c r="G763" s="11"/>
    </row>
    <row r="764">
      <c r="G764" s="11"/>
    </row>
    <row r="765">
      <c r="G765" s="11"/>
    </row>
    <row r="766">
      <c r="G766" s="11"/>
    </row>
    <row r="767">
      <c r="G767" s="11"/>
    </row>
    <row r="768">
      <c r="G768" s="11"/>
    </row>
    <row r="769">
      <c r="G769" s="11"/>
    </row>
    <row r="770">
      <c r="G770" s="11"/>
    </row>
    <row r="771">
      <c r="G771" s="11"/>
    </row>
    <row r="772">
      <c r="G772" s="11"/>
    </row>
    <row r="773">
      <c r="G773" s="11"/>
    </row>
    <row r="774">
      <c r="G774" s="11"/>
    </row>
    <row r="775">
      <c r="G775" s="11"/>
    </row>
    <row r="776">
      <c r="G776" s="11"/>
    </row>
    <row r="777">
      <c r="G777" s="11"/>
    </row>
    <row r="778">
      <c r="G778" s="11"/>
    </row>
    <row r="779">
      <c r="G779" s="11"/>
    </row>
    <row r="780">
      <c r="G780" s="11"/>
    </row>
    <row r="781">
      <c r="G781" s="11"/>
    </row>
    <row r="782">
      <c r="G782" s="11"/>
    </row>
    <row r="783">
      <c r="G783" s="11"/>
    </row>
    <row r="784">
      <c r="G784" s="11"/>
    </row>
    <row r="785">
      <c r="G785" s="11"/>
    </row>
    <row r="786">
      <c r="G786" s="11"/>
    </row>
    <row r="787">
      <c r="G787" s="11"/>
    </row>
    <row r="788">
      <c r="G788" s="11"/>
    </row>
    <row r="789">
      <c r="G789" s="11"/>
    </row>
    <row r="790">
      <c r="G790" s="11"/>
    </row>
    <row r="791">
      <c r="G791" s="11"/>
    </row>
    <row r="792">
      <c r="G792" s="11"/>
    </row>
    <row r="793">
      <c r="G793" s="11"/>
    </row>
    <row r="794">
      <c r="G794" s="11"/>
    </row>
    <row r="795">
      <c r="G795" s="11"/>
    </row>
    <row r="796">
      <c r="G796" s="11"/>
    </row>
    <row r="797">
      <c r="G797" s="11"/>
    </row>
    <row r="798">
      <c r="G798" s="11"/>
    </row>
    <row r="799">
      <c r="G799" s="11"/>
    </row>
    <row r="800">
      <c r="G800" s="11"/>
    </row>
    <row r="801">
      <c r="G801" s="11"/>
    </row>
    <row r="802">
      <c r="G802" s="11"/>
    </row>
    <row r="803">
      <c r="G803" s="11"/>
    </row>
    <row r="804">
      <c r="G804" s="11"/>
    </row>
    <row r="805">
      <c r="G805" s="11"/>
    </row>
    <row r="806">
      <c r="G806" s="11"/>
    </row>
    <row r="807">
      <c r="G807" s="11"/>
    </row>
    <row r="808">
      <c r="G808" s="11"/>
    </row>
    <row r="809">
      <c r="G809" s="11"/>
    </row>
    <row r="810">
      <c r="G810" s="11"/>
    </row>
    <row r="811">
      <c r="G811" s="11"/>
    </row>
    <row r="812">
      <c r="G812" s="11"/>
    </row>
    <row r="813">
      <c r="G813" s="11"/>
    </row>
    <row r="814">
      <c r="G814" s="11"/>
    </row>
    <row r="815">
      <c r="G815" s="11"/>
    </row>
    <row r="816">
      <c r="G816" s="11"/>
    </row>
    <row r="817">
      <c r="G817" s="11"/>
    </row>
    <row r="818">
      <c r="G818" s="11"/>
    </row>
    <row r="819">
      <c r="G819" s="11"/>
    </row>
    <row r="820">
      <c r="G820" s="11"/>
    </row>
    <row r="821">
      <c r="G821" s="11"/>
    </row>
    <row r="822">
      <c r="G822" s="11"/>
    </row>
    <row r="823">
      <c r="G823" s="11"/>
    </row>
    <row r="824">
      <c r="G824" s="11"/>
    </row>
    <row r="825">
      <c r="G825" s="11"/>
    </row>
    <row r="826">
      <c r="G826" s="11"/>
    </row>
    <row r="827">
      <c r="G827" s="11"/>
    </row>
    <row r="828">
      <c r="G828" s="11"/>
    </row>
    <row r="829">
      <c r="G829" s="11"/>
    </row>
    <row r="830">
      <c r="G830" s="11"/>
    </row>
    <row r="831">
      <c r="G831" s="11"/>
    </row>
    <row r="832">
      <c r="G832" s="11"/>
    </row>
    <row r="833">
      <c r="G833" s="11"/>
    </row>
    <row r="834">
      <c r="G834" s="11"/>
    </row>
    <row r="835">
      <c r="G835" s="11"/>
    </row>
    <row r="836">
      <c r="G836" s="11"/>
    </row>
    <row r="837">
      <c r="G837" s="11"/>
    </row>
    <row r="838">
      <c r="G838" s="11"/>
    </row>
    <row r="839">
      <c r="G839" s="11"/>
    </row>
    <row r="840">
      <c r="G840" s="11"/>
    </row>
    <row r="841">
      <c r="G841" s="11"/>
    </row>
    <row r="842">
      <c r="G842" s="11"/>
    </row>
    <row r="843">
      <c r="G843" s="11"/>
    </row>
    <row r="844">
      <c r="G844" s="11"/>
    </row>
    <row r="845">
      <c r="G845" s="11"/>
    </row>
    <row r="846">
      <c r="G846" s="11"/>
    </row>
    <row r="847">
      <c r="G847" s="11"/>
    </row>
    <row r="848">
      <c r="G848" s="11"/>
    </row>
    <row r="849">
      <c r="G849" s="11"/>
    </row>
    <row r="850">
      <c r="G850" s="11"/>
    </row>
    <row r="851">
      <c r="G851" s="11"/>
    </row>
    <row r="852">
      <c r="G852" s="11"/>
    </row>
    <row r="853">
      <c r="G853" s="11"/>
    </row>
    <row r="854">
      <c r="G854" s="11"/>
    </row>
    <row r="855">
      <c r="G855" s="11"/>
    </row>
    <row r="856">
      <c r="G856" s="11"/>
    </row>
    <row r="857">
      <c r="G857" s="11"/>
    </row>
    <row r="858">
      <c r="G858" s="11"/>
    </row>
    <row r="859">
      <c r="G859" s="11"/>
    </row>
    <row r="860">
      <c r="G860" s="11"/>
    </row>
    <row r="861">
      <c r="G861" s="11"/>
    </row>
    <row r="862">
      <c r="G862" s="11"/>
    </row>
    <row r="863">
      <c r="G863" s="11"/>
    </row>
    <row r="864">
      <c r="G864" s="11"/>
    </row>
    <row r="865">
      <c r="G865" s="11"/>
    </row>
    <row r="866">
      <c r="G866" s="11"/>
    </row>
    <row r="867">
      <c r="G867" s="11"/>
    </row>
    <row r="868">
      <c r="G868" s="11"/>
    </row>
    <row r="869">
      <c r="G869" s="11"/>
    </row>
    <row r="870">
      <c r="G870" s="11"/>
    </row>
    <row r="871">
      <c r="G871" s="11"/>
    </row>
    <row r="872">
      <c r="G872" s="11"/>
    </row>
    <row r="873">
      <c r="G873" s="11"/>
    </row>
    <row r="874">
      <c r="G874" s="11"/>
    </row>
    <row r="875">
      <c r="G875" s="11"/>
    </row>
    <row r="876">
      <c r="G876" s="11"/>
    </row>
    <row r="877">
      <c r="G877" s="11"/>
    </row>
    <row r="878">
      <c r="G878" s="11"/>
    </row>
    <row r="879">
      <c r="G879" s="11"/>
    </row>
    <row r="880">
      <c r="G880" s="11"/>
    </row>
    <row r="881">
      <c r="G881" s="11"/>
    </row>
    <row r="882">
      <c r="G882" s="11"/>
    </row>
    <row r="883">
      <c r="G883" s="11"/>
    </row>
    <row r="884">
      <c r="G884" s="11"/>
    </row>
    <row r="885">
      <c r="G885" s="11"/>
    </row>
    <row r="886">
      <c r="G886" s="11"/>
    </row>
    <row r="887">
      <c r="G887" s="11"/>
    </row>
    <row r="888">
      <c r="G888" s="11"/>
    </row>
    <row r="889">
      <c r="G889" s="11"/>
    </row>
    <row r="890">
      <c r="G890" s="11"/>
    </row>
    <row r="891">
      <c r="G891" s="11"/>
    </row>
    <row r="892">
      <c r="G892" s="11"/>
    </row>
    <row r="893">
      <c r="G893" s="11"/>
    </row>
    <row r="894">
      <c r="G894" s="11"/>
    </row>
    <row r="895">
      <c r="G895" s="11"/>
    </row>
    <row r="896">
      <c r="G896" s="11"/>
    </row>
    <row r="897">
      <c r="G897" s="11"/>
    </row>
    <row r="898">
      <c r="G898" s="11"/>
    </row>
    <row r="899">
      <c r="G899" s="11"/>
    </row>
    <row r="900">
      <c r="G900" s="11"/>
    </row>
    <row r="901">
      <c r="G901" s="11"/>
    </row>
    <row r="902">
      <c r="G902" s="11"/>
    </row>
    <row r="903">
      <c r="G903" s="11"/>
    </row>
    <row r="904">
      <c r="G904" s="11"/>
    </row>
    <row r="905">
      <c r="G905" s="11"/>
    </row>
    <row r="906">
      <c r="G906" s="11"/>
    </row>
    <row r="907">
      <c r="G907" s="11"/>
    </row>
    <row r="908">
      <c r="G908" s="11"/>
    </row>
    <row r="909">
      <c r="G909" s="11"/>
    </row>
    <row r="910">
      <c r="G910" s="11"/>
    </row>
    <row r="911">
      <c r="G911" s="11"/>
    </row>
    <row r="912">
      <c r="G912" s="11"/>
    </row>
    <row r="913">
      <c r="G913" s="11"/>
    </row>
    <row r="914">
      <c r="G914" s="11"/>
    </row>
    <row r="915">
      <c r="G915" s="11"/>
    </row>
    <row r="916">
      <c r="G916" s="11"/>
    </row>
    <row r="917">
      <c r="G917" s="11"/>
    </row>
    <row r="918">
      <c r="G918" s="11"/>
    </row>
    <row r="919">
      <c r="G919" s="11"/>
    </row>
    <row r="920">
      <c r="G920" s="11"/>
    </row>
    <row r="921">
      <c r="G921" s="11"/>
    </row>
    <row r="922">
      <c r="G922" s="11"/>
    </row>
    <row r="923">
      <c r="G923" s="11"/>
    </row>
    <row r="924">
      <c r="G924" s="11"/>
    </row>
    <row r="925">
      <c r="G925" s="11"/>
    </row>
    <row r="926">
      <c r="G926" s="11"/>
    </row>
    <row r="927">
      <c r="G927" s="11"/>
    </row>
    <row r="928">
      <c r="G928" s="11"/>
    </row>
    <row r="929">
      <c r="G929" s="11"/>
    </row>
    <row r="930">
      <c r="G930" s="11"/>
    </row>
    <row r="931">
      <c r="G931" s="11"/>
    </row>
    <row r="932">
      <c r="G932" s="11"/>
    </row>
    <row r="933">
      <c r="G933" s="11"/>
    </row>
    <row r="934">
      <c r="G934" s="11"/>
    </row>
    <row r="935">
      <c r="G935" s="11"/>
    </row>
    <row r="936">
      <c r="G936" s="11"/>
    </row>
    <row r="937">
      <c r="G937" s="11"/>
    </row>
    <row r="938">
      <c r="G938" s="11"/>
    </row>
    <row r="939">
      <c r="G939" s="11"/>
    </row>
    <row r="940">
      <c r="G940" s="11"/>
    </row>
    <row r="941">
      <c r="G941" s="11"/>
    </row>
    <row r="942">
      <c r="G942" s="11"/>
    </row>
    <row r="943">
      <c r="G943" s="11"/>
    </row>
    <row r="944">
      <c r="G944" s="11"/>
    </row>
    <row r="945">
      <c r="G945" s="11"/>
    </row>
    <row r="946">
      <c r="G946" s="11"/>
    </row>
    <row r="947">
      <c r="G947" s="11"/>
    </row>
    <row r="948">
      <c r="G948" s="11"/>
    </row>
    <row r="949">
      <c r="G949" s="11"/>
    </row>
    <row r="950">
      <c r="G950" s="11"/>
    </row>
    <row r="951">
      <c r="G951" s="11"/>
    </row>
    <row r="952">
      <c r="G952" s="11"/>
    </row>
    <row r="953">
      <c r="G953" s="11"/>
    </row>
    <row r="954">
      <c r="G954" s="11"/>
    </row>
    <row r="955">
      <c r="G955" s="11"/>
    </row>
    <row r="956">
      <c r="G956" s="11"/>
    </row>
    <row r="957">
      <c r="G957" s="11"/>
    </row>
    <row r="958">
      <c r="G958" s="11"/>
    </row>
    <row r="959">
      <c r="G959" s="11"/>
    </row>
    <row r="960">
      <c r="G960" s="11"/>
    </row>
    <row r="961">
      <c r="G961" s="11"/>
    </row>
    <row r="962">
      <c r="G962" s="11"/>
    </row>
    <row r="963">
      <c r="G963" s="11"/>
    </row>
    <row r="964">
      <c r="G964" s="11"/>
    </row>
    <row r="965">
      <c r="G965" s="11"/>
    </row>
    <row r="966">
      <c r="G966" s="11"/>
    </row>
    <row r="967">
      <c r="G967" s="11"/>
    </row>
    <row r="968">
      <c r="G968" s="11"/>
    </row>
    <row r="969">
      <c r="G969" s="11"/>
    </row>
    <row r="970">
      <c r="G970" s="11"/>
    </row>
    <row r="971">
      <c r="G971" s="11"/>
    </row>
    <row r="972">
      <c r="G972" s="11"/>
    </row>
    <row r="973">
      <c r="G973" s="11"/>
    </row>
    <row r="974">
      <c r="G974" s="11"/>
    </row>
    <row r="975">
      <c r="G975" s="11"/>
    </row>
    <row r="976">
      <c r="G976" s="11"/>
    </row>
    <row r="977">
      <c r="G977" s="11"/>
    </row>
    <row r="978">
      <c r="G978" s="11"/>
    </row>
    <row r="979">
      <c r="G979" s="11"/>
    </row>
    <row r="980">
      <c r="G980" s="11"/>
    </row>
    <row r="981">
      <c r="G981" s="11"/>
    </row>
    <row r="982">
      <c r="G982" s="11"/>
    </row>
    <row r="983">
      <c r="G983" s="11"/>
    </row>
    <row r="984">
      <c r="G984" s="11"/>
    </row>
    <row r="985">
      <c r="G985" s="11"/>
    </row>
    <row r="986">
      <c r="G986" s="11"/>
    </row>
    <row r="987">
      <c r="G987" s="11"/>
    </row>
    <row r="988">
      <c r="G988" s="11"/>
    </row>
    <row r="989">
      <c r="G989" s="11"/>
    </row>
    <row r="990">
      <c r="G990" s="11"/>
    </row>
    <row r="991">
      <c r="G991" s="11"/>
    </row>
    <row r="992">
      <c r="G992" s="11"/>
    </row>
    <row r="993">
      <c r="G993" s="11"/>
    </row>
    <row r="994">
      <c r="G994" s="11"/>
    </row>
    <row r="995">
      <c r="G995" s="11"/>
    </row>
    <row r="996">
      <c r="G996" s="11"/>
    </row>
    <row r="997">
      <c r="G997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9.88"/>
    <col customWidth="1" min="3" max="3" width="36.13"/>
    <col customWidth="1" min="6" max="6" width="16.0"/>
    <col customWidth="1" hidden="1" min="9" max="9" width="16.0"/>
    <col customWidth="1" hidden="1" min="11" max="11" width="16.25"/>
  </cols>
  <sheetData>
    <row r="1">
      <c r="A1" s="1" t="s">
        <v>0</v>
      </c>
      <c r="B1" s="2" t="s">
        <v>73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74</v>
      </c>
      <c r="J1" s="3" t="s">
        <v>8</v>
      </c>
      <c r="K1" s="3" t="s">
        <v>75</v>
      </c>
      <c r="L1" s="3" t="s">
        <v>10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3">
        <v>2001.0</v>
      </c>
      <c r="B2" s="13" t="s">
        <v>76</v>
      </c>
      <c r="C2" s="13" t="s">
        <v>77</v>
      </c>
      <c r="D2" s="13">
        <v>90.0</v>
      </c>
      <c r="E2" s="14">
        <v>0.0</v>
      </c>
      <c r="F2" s="15">
        <f t="shared" ref="F2:F213" si="1">ROUNDUP(G2,0)</f>
        <v>84</v>
      </c>
      <c r="G2" s="15">
        <f>D2/1.08</f>
        <v>83.33333333</v>
      </c>
      <c r="H2" s="15"/>
      <c r="I2" s="15"/>
      <c r="J2" s="15"/>
      <c r="K2" s="15"/>
      <c r="L2" s="15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13">
        <v>2002.0</v>
      </c>
      <c r="B3" s="13" t="s">
        <v>78</v>
      </c>
      <c r="C3" s="13" t="s">
        <v>79</v>
      </c>
      <c r="D3" s="13">
        <v>55.0</v>
      </c>
      <c r="E3" s="14">
        <v>0.0</v>
      </c>
      <c r="F3" s="15">
        <f t="shared" si="1"/>
        <v>50</v>
      </c>
      <c r="G3" s="15">
        <f>D3/1.1</f>
        <v>50</v>
      </c>
      <c r="H3" s="15"/>
      <c r="I3" s="15"/>
      <c r="J3" s="15"/>
      <c r="K3" s="15"/>
      <c r="L3" s="1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13">
        <v>2003.0</v>
      </c>
      <c r="B4" s="13" t="s">
        <v>76</v>
      </c>
      <c r="C4" s="13" t="s">
        <v>80</v>
      </c>
      <c r="D4" s="13">
        <v>130.0</v>
      </c>
      <c r="E4" s="14">
        <v>0.0</v>
      </c>
      <c r="F4" s="15">
        <f t="shared" si="1"/>
        <v>121</v>
      </c>
      <c r="G4" s="15">
        <f t="shared" ref="G4:G10" si="2">D4/1.08</f>
        <v>120.3703704</v>
      </c>
      <c r="H4" s="15"/>
      <c r="I4" s="15"/>
      <c r="J4" s="15"/>
      <c r="K4" s="15"/>
      <c r="L4" s="15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13">
        <v>2004.0</v>
      </c>
      <c r="B5" s="13" t="s">
        <v>76</v>
      </c>
      <c r="C5" s="13" t="s">
        <v>81</v>
      </c>
      <c r="D5" s="13">
        <v>120.0</v>
      </c>
      <c r="E5" s="14">
        <v>0.0</v>
      </c>
      <c r="F5" s="15">
        <f t="shared" si="1"/>
        <v>112</v>
      </c>
      <c r="G5" s="15">
        <f t="shared" si="2"/>
        <v>111.1111111</v>
      </c>
      <c r="H5" s="15"/>
      <c r="I5" s="15"/>
      <c r="J5" s="15"/>
      <c r="K5" s="15"/>
      <c r="L5" s="15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13">
        <v>2005.0</v>
      </c>
      <c r="B6" s="13" t="s">
        <v>76</v>
      </c>
      <c r="C6" s="13" t="s">
        <v>82</v>
      </c>
      <c r="D6" s="13">
        <v>450.0</v>
      </c>
      <c r="E6" s="14">
        <v>0.0</v>
      </c>
      <c r="F6" s="15">
        <f t="shared" si="1"/>
        <v>417</v>
      </c>
      <c r="G6" s="15">
        <f t="shared" si="2"/>
        <v>416.6666667</v>
      </c>
      <c r="H6" s="15"/>
      <c r="I6" s="15"/>
      <c r="J6" s="15"/>
      <c r="K6" s="15"/>
      <c r="L6" s="15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13">
        <v>2006.0</v>
      </c>
      <c r="B7" s="13" t="s">
        <v>76</v>
      </c>
      <c r="C7" s="13" t="s">
        <v>82</v>
      </c>
      <c r="D7" s="13">
        <v>450.0</v>
      </c>
      <c r="E7" s="14">
        <v>0.0</v>
      </c>
      <c r="F7" s="15">
        <f t="shared" si="1"/>
        <v>417</v>
      </c>
      <c r="G7" s="15">
        <f t="shared" si="2"/>
        <v>416.6666667</v>
      </c>
      <c r="H7" s="15"/>
      <c r="I7" s="15"/>
      <c r="J7" s="15"/>
      <c r="K7" s="15"/>
      <c r="L7" s="15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13">
        <v>2007.0</v>
      </c>
      <c r="B8" s="13" t="s">
        <v>76</v>
      </c>
      <c r="C8" s="13" t="s">
        <v>83</v>
      </c>
      <c r="D8" s="13">
        <v>245.0</v>
      </c>
      <c r="E8" s="14">
        <v>0.0</v>
      </c>
      <c r="F8" s="15">
        <f t="shared" si="1"/>
        <v>227</v>
      </c>
      <c r="G8" s="15">
        <f t="shared" si="2"/>
        <v>226.8518519</v>
      </c>
      <c r="H8" s="15"/>
      <c r="I8" s="15"/>
      <c r="J8" s="15"/>
      <c r="K8" s="15"/>
      <c r="L8" s="1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13">
        <v>2008.0</v>
      </c>
      <c r="B9" s="13" t="s">
        <v>76</v>
      </c>
      <c r="C9" s="13" t="s">
        <v>84</v>
      </c>
      <c r="D9" s="13">
        <v>245.0</v>
      </c>
      <c r="E9" s="14">
        <v>0.0</v>
      </c>
      <c r="F9" s="15">
        <f t="shared" si="1"/>
        <v>227</v>
      </c>
      <c r="G9" s="15">
        <f t="shared" si="2"/>
        <v>226.8518519</v>
      </c>
      <c r="H9" s="15"/>
      <c r="I9" s="15"/>
      <c r="J9" s="15"/>
      <c r="K9" s="15"/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13">
        <v>2009.0</v>
      </c>
      <c r="B10" s="13" t="s">
        <v>76</v>
      </c>
      <c r="C10" s="13" t="s">
        <v>85</v>
      </c>
      <c r="D10" s="13">
        <v>245.0</v>
      </c>
      <c r="E10" s="14">
        <v>0.0</v>
      </c>
      <c r="F10" s="15">
        <f t="shared" si="1"/>
        <v>227</v>
      </c>
      <c r="G10" s="15">
        <f t="shared" si="2"/>
        <v>226.8518519</v>
      </c>
      <c r="H10" s="15"/>
      <c r="I10" s="15"/>
      <c r="J10" s="15"/>
      <c r="K10" s="15"/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13">
        <v>2010.0</v>
      </c>
      <c r="B11" s="13" t="s">
        <v>78</v>
      </c>
      <c r="C11" s="13" t="s">
        <v>86</v>
      </c>
      <c r="D11" s="13">
        <v>129.0</v>
      </c>
      <c r="E11" s="14">
        <v>0.0</v>
      </c>
      <c r="F11" s="15">
        <f t="shared" si="1"/>
        <v>118</v>
      </c>
      <c r="G11" s="14">
        <f>D11/1.1</f>
        <v>117.2727273</v>
      </c>
      <c r="H11" s="15"/>
      <c r="I11" s="15"/>
      <c r="J11" s="15"/>
      <c r="K11" s="15"/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13">
        <v>2011.0</v>
      </c>
      <c r="B12" s="13" t="s">
        <v>87</v>
      </c>
      <c r="C12" s="13" t="s">
        <v>88</v>
      </c>
      <c r="D12" s="13">
        <v>49.0</v>
      </c>
      <c r="E12" s="14">
        <v>0.0</v>
      </c>
      <c r="F12" s="15">
        <f t="shared" si="1"/>
        <v>43</v>
      </c>
      <c r="G12" s="15">
        <f t="shared" ref="G12:G14" si="3">D12/1.15</f>
        <v>42.60869565</v>
      </c>
      <c r="H12" s="15"/>
      <c r="I12" s="15"/>
      <c r="J12" s="15"/>
      <c r="K12" s="15"/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13">
        <v>2012.0</v>
      </c>
      <c r="B13" s="13" t="s">
        <v>87</v>
      </c>
      <c r="C13" s="13" t="s">
        <v>89</v>
      </c>
      <c r="D13" s="13">
        <v>49.0</v>
      </c>
      <c r="E13" s="14">
        <v>0.0</v>
      </c>
      <c r="F13" s="15">
        <f t="shared" si="1"/>
        <v>43</v>
      </c>
      <c r="G13" s="15">
        <f t="shared" si="3"/>
        <v>42.60869565</v>
      </c>
      <c r="H13" s="15"/>
      <c r="I13" s="15"/>
      <c r="J13" s="15"/>
      <c r="K13" s="15"/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13">
        <v>2013.0</v>
      </c>
      <c r="B14" s="13" t="s">
        <v>87</v>
      </c>
      <c r="C14" s="13" t="s">
        <v>90</v>
      </c>
      <c r="D14" s="13">
        <v>90.0</v>
      </c>
      <c r="E14" s="14">
        <v>0.0</v>
      </c>
      <c r="F14" s="15">
        <f t="shared" si="1"/>
        <v>79</v>
      </c>
      <c r="G14" s="15">
        <f t="shared" si="3"/>
        <v>78.26086957</v>
      </c>
      <c r="H14" s="15"/>
      <c r="I14" s="15"/>
      <c r="J14" s="15"/>
      <c r="K14" s="15"/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13">
        <v>2014.0</v>
      </c>
      <c r="B15" s="13" t="s">
        <v>78</v>
      </c>
      <c r="C15" s="13" t="s">
        <v>91</v>
      </c>
      <c r="D15" s="13">
        <v>120.0</v>
      </c>
      <c r="E15" s="14">
        <v>0.0</v>
      </c>
      <c r="F15" s="15">
        <f t="shared" si="1"/>
        <v>110</v>
      </c>
      <c r="G15" s="15">
        <f t="shared" ref="G15:G26" si="4">D15/1.1</f>
        <v>109.0909091</v>
      </c>
      <c r="H15" s="15"/>
      <c r="I15" s="15"/>
      <c r="J15" s="15"/>
      <c r="K15" s="15"/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13">
        <v>2015.0</v>
      </c>
      <c r="B16" s="13" t="s">
        <v>78</v>
      </c>
      <c r="C16" s="13" t="s">
        <v>92</v>
      </c>
      <c r="D16" s="13">
        <v>120.0</v>
      </c>
      <c r="E16" s="14">
        <v>0.0</v>
      </c>
      <c r="F16" s="15">
        <f t="shared" si="1"/>
        <v>110</v>
      </c>
      <c r="G16" s="15">
        <f t="shared" si="4"/>
        <v>109.0909091</v>
      </c>
      <c r="H16" s="15"/>
      <c r="I16" s="15"/>
      <c r="J16" s="15"/>
      <c r="K16" s="15"/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13">
        <v>2016.0</v>
      </c>
      <c r="B17" s="13" t="s">
        <v>78</v>
      </c>
      <c r="C17" s="13" t="s">
        <v>93</v>
      </c>
      <c r="D17" s="13">
        <v>128.0</v>
      </c>
      <c r="E17" s="14">
        <v>0.0</v>
      </c>
      <c r="F17" s="15">
        <f t="shared" si="1"/>
        <v>117</v>
      </c>
      <c r="G17" s="15">
        <f t="shared" si="4"/>
        <v>116.3636364</v>
      </c>
      <c r="H17" s="15"/>
      <c r="I17" s="15"/>
      <c r="J17" s="15"/>
      <c r="K17" s="15"/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13">
        <v>2017.0</v>
      </c>
      <c r="B18" s="13" t="s">
        <v>78</v>
      </c>
      <c r="C18" s="13" t="s">
        <v>94</v>
      </c>
      <c r="D18" s="13">
        <v>420.0</v>
      </c>
      <c r="E18" s="14">
        <v>0.0</v>
      </c>
      <c r="F18" s="15">
        <f t="shared" si="1"/>
        <v>382</v>
      </c>
      <c r="G18" s="15">
        <f t="shared" si="4"/>
        <v>381.8181818</v>
      </c>
      <c r="H18" s="15"/>
      <c r="I18" s="15"/>
      <c r="J18" s="15"/>
      <c r="K18" s="15"/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13">
        <v>2018.0</v>
      </c>
      <c r="B19" s="13" t="s">
        <v>78</v>
      </c>
      <c r="C19" s="13" t="s">
        <v>95</v>
      </c>
      <c r="D19" s="13">
        <v>408.0</v>
      </c>
      <c r="E19" s="14">
        <v>0.0</v>
      </c>
      <c r="F19" s="15">
        <f t="shared" si="1"/>
        <v>371</v>
      </c>
      <c r="G19" s="15">
        <f t="shared" si="4"/>
        <v>370.9090909</v>
      </c>
      <c r="H19" s="15"/>
      <c r="I19" s="15"/>
      <c r="J19" s="15"/>
      <c r="K19" s="15"/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13">
        <v>2019.0</v>
      </c>
      <c r="B20" s="13" t="s">
        <v>78</v>
      </c>
      <c r="C20" s="13" t="s">
        <v>96</v>
      </c>
      <c r="D20" s="13">
        <v>102.0</v>
      </c>
      <c r="E20" s="14">
        <v>0.0</v>
      </c>
      <c r="F20" s="15">
        <f t="shared" si="1"/>
        <v>93</v>
      </c>
      <c r="G20" s="15">
        <f t="shared" si="4"/>
        <v>92.72727273</v>
      </c>
      <c r="H20" s="15"/>
      <c r="I20" s="15"/>
      <c r="J20" s="15"/>
      <c r="K20" s="15"/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13">
        <v>2020.0</v>
      </c>
      <c r="B21" s="13" t="s">
        <v>78</v>
      </c>
      <c r="C21" s="13" t="s">
        <v>97</v>
      </c>
      <c r="D21" s="13">
        <v>253.0</v>
      </c>
      <c r="E21" s="14">
        <v>0.0</v>
      </c>
      <c r="F21" s="15">
        <f t="shared" si="1"/>
        <v>230</v>
      </c>
      <c r="G21" s="15">
        <f t="shared" si="4"/>
        <v>230</v>
      </c>
      <c r="H21" s="15"/>
      <c r="I21" s="15"/>
      <c r="J21" s="15"/>
      <c r="K21" s="15"/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13">
        <v>2021.0</v>
      </c>
      <c r="B22" s="13" t="s">
        <v>78</v>
      </c>
      <c r="C22" s="13" t="s">
        <v>98</v>
      </c>
      <c r="D22" s="13">
        <v>334.0</v>
      </c>
      <c r="E22" s="14">
        <v>0.0</v>
      </c>
      <c r="F22" s="15">
        <f t="shared" si="1"/>
        <v>304</v>
      </c>
      <c r="G22" s="15">
        <f t="shared" si="4"/>
        <v>303.6363636</v>
      </c>
      <c r="H22" s="15"/>
      <c r="I22" s="15"/>
      <c r="J22" s="15"/>
      <c r="K22" s="15"/>
      <c r="L22" s="15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3">
        <v>2022.0</v>
      </c>
      <c r="B23" s="13" t="s">
        <v>78</v>
      </c>
      <c r="C23" s="13" t="s">
        <v>99</v>
      </c>
      <c r="D23" s="13">
        <v>64.0</v>
      </c>
      <c r="E23" s="14">
        <v>0.0</v>
      </c>
      <c r="F23" s="15">
        <f t="shared" si="1"/>
        <v>59</v>
      </c>
      <c r="G23" s="15">
        <f t="shared" si="4"/>
        <v>58.18181818</v>
      </c>
      <c r="H23" s="15"/>
      <c r="I23" s="15"/>
      <c r="J23" s="15"/>
      <c r="K23" s="15"/>
      <c r="L23" s="15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13">
        <v>2023.0</v>
      </c>
      <c r="B24" s="13" t="s">
        <v>78</v>
      </c>
      <c r="C24" s="13" t="s">
        <v>100</v>
      </c>
      <c r="D24" s="13">
        <v>117.0</v>
      </c>
      <c r="E24" s="14">
        <v>0.0</v>
      </c>
      <c r="F24" s="15">
        <f t="shared" si="1"/>
        <v>107</v>
      </c>
      <c r="G24" s="15">
        <f t="shared" si="4"/>
        <v>106.3636364</v>
      </c>
      <c r="H24" s="15"/>
      <c r="I24" s="15"/>
      <c r="J24" s="15"/>
      <c r="K24" s="15"/>
      <c r="L24" s="15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13">
        <v>2024.0</v>
      </c>
      <c r="B25" s="13" t="s">
        <v>78</v>
      </c>
      <c r="C25" s="13" t="s">
        <v>101</v>
      </c>
      <c r="D25" s="13">
        <v>67.0</v>
      </c>
      <c r="E25" s="14">
        <v>0.0</v>
      </c>
      <c r="F25" s="15">
        <f t="shared" si="1"/>
        <v>61</v>
      </c>
      <c r="G25" s="15">
        <f t="shared" si="4"/>
        <v>60.90909091</v>
      </c>
      <c r="H25" s="15"/>
      <c r="I25" s="15"/>
      <c r="J25" s="15"/>
      <c r="K25" s="15"/>
      <c r="L25" s="15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13">
        <v>2025.0</v>
      </c>
      <c r="B26" s="13" t="s">
        <v>78</v>
      </c>
      <c r="C26" s="13" t="s">
        <v>102</v>
      </c>
      <c r="D26" s="13">
        <v>110.0</v>
      </c>
      <c r="E26" s="14">
        <v>0.0</v>
      </c>
      <c r="F26" s="15">
        <f t="shared" si="1"/>
        <v>100</v>
      </c>
      <c r="G26" s="15">
        <f t="shared" si="4"/>
        <v>100</v>
      </c>
      <c r="H26" s="15"/>
      <c r="I26" s="15"/>
      <c r="J26" s="15"/>
      <c r="K26" s="15"/>
      <c r="L26" s="15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13">
        <v>2026.0</v>
      </c>
      <c r="B27" s="13" t="s">
        <v>76</v>
      </c>
      <c r="C27" s="13" t="s">
        <v>103</v>
      </c>
      <c r="D27" s="13">
        <v>40.0</v>
      </c>
      <c r="E27" s="14">
        <v>0.0</v>
      </c>
      <c r="F27" s="15">
        <f t="shared" si="1"/>
        <v>38</v>
      </c>
      <c r="G27" s="15">
        <f t="shared" ref="G27:G29" si="5">D27/1.08</f>
        <v>37.03703704</v>
      </c>
      <c r="H27" s="15"/>
      <c r="I27" s="15"/>
      <c r="J27" s="15"/>
      <c r="K27" s="15"/>
      <c r="L27" s="15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13">
        <v>2027.0</v>
      </c>
      <c r="B28" s="13" t="s">
        <v>76</v>
      </c>
      <c r="C28" s="13" t="s">
        <v>104</v>
      </c>
      <c r="D28" s="13">
        <v>62.0</v>
      </c>
      <c r="E28" s="14">
        <v>0.0</v>
      </c>
      <c r="F28" s="15">
        <f t="shared" si="1"/>
        <v>58</v>
      </c>
      <c r="G28" s="15">
        <f t="shared" si="5"/>
        <v>57.40740741</v>
      </c>
      <c r="H28" s="15"/>
      <c r="I28" s="15"/>
      <c r="J28" s="15"/>
      <c r="K28" s="15"/>
      <c r="L28" s="15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13">
        <v>2028.0</v>
      </c>
      <c r="B29" s="13" t="s">
        <v>76</v>
      </c>
      <c r="C29" s="13" t="s">
        <v>105</v>
      </c>
      <c r="D29" s="13">
        <v>67.0</v>
      </c>
      <c r="E29" s="14">
        <v>0.0</v>
      </c>
      <c r="F29" s="15">
        <f t="shared" si="1"/>
        <v>63</v>
      </c>
      <c r="G29" s="15">
        <f t="shared" si="5"/>
        <v>62.03703704</v>
      </c>
      <c r="H29" s="15"/>
      <c r="I29" s="15"/>
      <c r="J29" s="15"/>
      <c r="K29" s="15"/>
      <c r="L29" s="15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13">
        <v>2029.0</v>
      </c>
      <c r="B30" s="13" t="s">
        <v>76</v>
      </c>
      <c r="C30" s="13" t="s">
        <v>106</v>
      </c>
      <c r="D30" s="13">
        <v>215.0</v>
      </c>
      <c r="E30" s="14">
        <v>0.0</v>
      </c>
      <c r="F30" s="15">
        <f t="shared" si="1"/>
        <v>196</v>
      </c>
      <c r="G30" s="15">
        <f t="shared" ref="G30:G38" si="6">D30/1.1</f>
        <v>195.4545455</v>
      </c>
      <c r="H30" s="15"/>
      <c r="I30" s="15"/>
      <c r="J30" s="15"/>
      <c r="K30" s="15"/>
      <c r="L30" s="1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13">
        <v>2030.0</v>
      </c>
      <c r="B31" s="13" t="s">
        <v>76</v>
      </c>
      <c r="C31" s="13" t="s">
        <v>107</v>
      </c>
      <c r="D31" s="13">
        <v>215.0</v>
      </c>
      <c r="E31" s="14">
        <v>0.0</v>
      </c>
      <c r="F31" s="15">
        <f t="shared" si="1"/>
        <v>196</v>
      </c>
      <c r="G31" s="15">
        <f t="shared" si="6"/>
        <v>195.4545455</v>
      </c>
      <c r="H31" s="15"/>
      <c r="I31" s="15"/>
      <c r="J31" s="15"/>
      <c r="K31" s="15"/>
      <c r="L31" s="15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13">
        <v>2031.0</v>
      </c>
      <c r="B32" s="13" t="s">
        <v>76</v>
      </c>
      <c r="C32" s="13" t="s">
        <v>108</v>
      </c>
      <c r="D32" s="13">
        <v>170.0</v>
      </c>
      <c r="E32" s="14">
        <v>0.0</v>
      </c>
      <c r="F32" s="15">
        <f t="shared" si="1"/>
        <v>155</v>
      </c>
      <c r="G32" s="15">
        <f t="shared" si="6"/>
        <v>154.5454545</v>
      </c>
      <c r="H32" s="15"/>
      <c r="I32" s="15"/>
      <c r="J32" s="15"/>
      <c r="K32" s="15"/>
      <c r="L32" s="15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13">
        <v>2032.0</v>
      </c>
      <c r="B33" s="13" t="s">
        <v>78</v>
      </c>
      <c r="C33" s="13" t="s">
        <v>109</v>
      </c>
      <c r="D33" s="13">
        <v>189.0</v>
      </c>
      <c r="E33" s="14">
        <v>0.0</v>
      </c>
      <c r="F33" s="15">
        <f t="shared" si="1"/>
        <v>172</v>
      </c>
      <c r="G33" s="15">
        <f t="shared" si="6"/>
        <v>171.8181818</v>
      </c>
      <c r="H33" s="15"/>
      <c r="I33" s="15"/>
      <c r="J33" s="15"/>
      <c r="K33" s="15"/>
      <c r="L33" s="15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3">
        <v>2033.0</v>
      </c>
      <c r="B34" s="13" t="s">
        <v>78</v>
      </c>
      <c r="C34" s="13" t="s">
        <v>110</v>
      </c>
      <c r="D34" s="13">
        <v>172.0</v>
      </c>
      <c r="E34" s="14">
        <v>0.0</v>
      </c>
      <c r="F34" s="15">
        <f t="shared" si="1"/>
        <v>157</v>
      </c>
      <c r="G34" s="15">
        <f t="shared" si="6"/>
        <v>156.3636364</v>
      </c>
      <c r="H34" s="15"/>
      <c r="I34" s="15"/>
      <c r="J34" s="15"/>
      <c r="K34" s="15"/>
      <c r="L34" s="15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13">
        <v>2034.0</v>
      </c>
      <c r="B35" s="13" t="s">
        <v>78</v>
      </c>
      <c r="C35" s="13" t="s">
        <v>110</v>
      </c>
      <c r="D35" s="13">
        <v>189.0</v>
      </c>
      <c r="E35" s="14">
        <v>0.0</v>
      </c>
      <c r="F35" s="15">
        <f t="shared" si="1"/>
        <v>172</v>
      </c>
      <c r="G35" s="15">
        <f t="shared" si="6"/>
        <v>171.8181818</v>
      </c>
      <c r="H35" s="15"/>
      <c r="I35" s="15"/>
      <c r="J35" s="15"/>
      <c r="K35" s="15"/>
      <c r="L35" s="15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13">
        <v>2035.0</v>
      </c>
      <c r="B36" s="13" t="s">
        <v>78</v>
      </c>
      <c r="C36" s="13" t="s">
        <v>111</v>
      </c>
      <c r="D36" s="13">
        <v>172.0</v>
      </c>
      <c r="E36" s="14">
        <v>0.0</v>
      </c>
      <c r="F36" s="15">
        <f t="shared" si="1"/>
        <v>157</v>
      </c>
      <c r="G36" s="15">
        <f t="shared" si="6"/>
        <v>156.3636364</v>
      </c>
      <c r="H36" s="15"/>
      <c r="I36" s="15"/>
      <c r="J36" s="15"/>
      <c r="K36" s="15"/>
      <c r="L36" s="15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13">
        <v>2036.0</v>
      </c>
      <c r="B37" s="13" t="s">
        <v>78</v>
      </c>
      <c r="C37" s="13" t="s">
        <v>112</v>
      </c>
      <c r="D37" s="13">
        <v>172.0</v>
      </c>
      <c r="E37" s="14">
        <v>0.0</v>
      </c>
      <c r="F37" s="15">
        <f t="shared" si="1"/>
        <v>157</v>
      </c>
      <c r="G37" s="15">
        <f t="shared" si="6"/>
        <v>156.3636364</v>
      </c>
      <c r="H37" s="15"/>
      <c r="I37" s="15"/>
      <c r="J37" s="15"/>
      <c r="K37" s="15"/>
      <c r="L37" s="15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13">
        <v>2037.0</v>
      </c>
      <c r="B38" s="13" t="s">
        <v>78</v>
      </c>
      <c r="C38" s="13" t="s">
        <v>113</v>
      </c>
      <c r="D38" s="13">
        <v>172.0</v>
      </c>
      <c r="E38" s="14">
        <v>0.0</v>
      </c>
      <c r="F38" s="15">
        <f t="shared" si="1"/>
        <v>157</v>
      </c>
      <c r="G38" s="15">
        <f t="shared" si="6"/>
        <v>156.3636364</v>
      </c>
      <c r="H38" s="15"/>
      <c r="I38" s="15"/>
      <c r="J38" s="15"/>
      <c r="K38" s="15"/>
      <c r="L38" s="15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13">
        <v>2038.0</v>
      </c>
      <c r="B39" s="13" t="s">
        <v>76</v>
      </c>
      <c r="C39" s="13" t="s">
        <v>114</v>
      </c>
      <c r="D39" s="13">
        <v>270.0</v>
      </c>
      <c r="E39" s="14">
        <v>0.0</v>
      </c>
      <c r="F39" s="15">
        <f t="shared" si="1"/>
        <v>250</v>
      </c>
      <c r="G39" s="15">
        <f>D39/1.08</f>
        <v>250</v>
      </c>
      <c r="H39" s="15"/>
      <c r="I39" s="15"/>
      <c r="J39" s="15"/>
      <c r="K39" s="15"/>
      <c r="L39" s="15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13">
        <v>2039.0</v>
      </c>
      <c r="B40" s="13" t="s">
        <v>78</v>
      </c>
      <c r="C40" s="13" t="s">
        <v>115</v>
      </c>
      <c r="D40" s="13">
        <v>64.0</v>
      </c>
      <c r="E40" s="14">
        <v>0.0</v>
      </c>
      <c r="F40" s="15">
        <f t="shared" si="1"/>
        <v>59</v>
      </c>
      <c r="G40" s="15">
        <f t="shared" ref="G40:G49" si="7">D40/1.1</f>
        <v>58.18181818</v>
      </c>
      <c r="H40" s="15"/>
      <c r="I40" s="15"/>
      <c r="J40" s="15"/>
      <c r="K40" s="15"/>
      <c r="L40" s="15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13">
        <v>2040.0</v>
      </c>
      <c r="B41" s="13" t="s">
        <v>78</v>
      </c>
      <c r="C41" s="13" t="s">
        <v>116</v>
      </c>
      <c r="D41" s="13">
        <v>190.0</v>
      </c>
      <c r="E41" s="14">
        <v>0.0</v>
      </c>
      <c r="F41" s="15">
        <f t="shared" si="1"/>
        <v>173</v>
      </c>
      <c r="G41" s="15">
        <f t="shared" si="7"/>
        <v>172.7272727</v>
      </c>
      <c r="H41" s="15"/>
      <c r="I41" s="15"/>
      <c r="J41" s="15"/>
      <c r="K41" s="15"/>
      <c r="L41" s="15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13">
        <v>2041.0</v>
      </c>
      <c r="B42" s="13" t="s">
        <v>78</v>
      </c>
      <c r="C42" s="13" t="s">
        <v>117</v>
      </c>
      <c r="D42" s="13">
        <v>97.0</v>
      </c>
      <c r="E42" s="14">
        <v>0.0</v>
      </c>
      <c r="F42" s="15">
        <f t="shared" si="1"/>
        <v>89</v>
      </c>
      <c r="G42" s="15">
        <f t="shared" si="7"/>
        <v>88.18181818</v>
      </c>
      <c r="H42" s="15"/>
      <c r="I42" s="15"/>
      <c r="J42" s="15"/>
      <c r="K42" s="15"/>
      <c r="L42" s="15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13">
        <v>2042.0</v>
      </c>
      <c r="B43" s="13" t="s">
        <v>78</v>
      </c>
      <c r="C43" s="13" t="s">
        <v>118</v>
      </c>
      <c r="D43" s="13">
        <v>85.0</v>
      </c>
      <c r="E43" s="14">
        <v>0.0</v>
      </c>
      <c r="F43" s="15">
        <f t="shared" si="1"/>
        <v>78</v>
      </c>
      <c r="G43" s="15">
        <f t="shared" si="7"/>
        <v>77.27272727</v>
      </c>
      <c r="H43" s="15"/>
      <c r="I43" s="15"/>
      <c r="J43" s="15"/>
      <c r="K43" s="15"/>
      <c r="L43" s="15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13">
        <v>2043.0</v>
      </c>
      <c r="B44" s="13" t="s">
        <v>78</v>
      </c>
      <c r="C44" s="13" t="s">
        <v>119</v>
      </c>
      <c r="D44" s="13">
        <v>175.0</v>
      </c>
      <c r="E44" s="14">
        <v>0.0</v>
      </c>
      <c r="F44" s="15">
        <f t="shared" si="1"/>
        <v>160</v>
      </c>
      <c r="G44" s="15">
        <f t="shared" si="7"/>
        <v>159.0909091</v>
      </c>
      <c r="H44" s="15"/>
      <c r="I44" s="15"/>
      <c r="J44" s="15"/>
      <c r="K44" s="15"/>
      <c r="L44" s="15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13">
        <v>2044.0</v>
      </c>
      <c r="B45" s="13" t="s">
        <v>78</v>
      </c>
      <c r="C45" s="13" t="s">
        <v>120</v>
      </c>
      <c r="D45" s="13">
        <v>177.0</v>
      </c>
      <c r="E45" s="14">
        <v>0.0</v>
      </c>
      <c r="F45" s="15">
        <f t="shared" si="1"/>
        <v>161</v>
      </c>
      <c r="G45" s="15">
        <f t="shared" si="7"/>
        <v>160.9090909</v>
      </c>
      <c r="H45" s="15"/>
      <c r="I45" s="15"/>
      <c r="J45" s="15"/>
      <c r="K45" s="15"/>
      <c r="L45" s="15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3">
        <v>2045.0</v>
      </c>
      <c r="B46" s="13" t="s">
        <v>78</v>
      </c>
      <c r="C46" s="13" t="s">
        <v>121</v>
      </c>
      <c r="D46" s="13">
        <v>105.0</v>
      </c>
      <c r="E46" s="14">
        <v>0.0</v>
      </c>
      <c r="F46" s="15">
        <f t="shared" si="1"/>
        <v>96</v>
      </c>
      <c r="G46" s="15">
        <f t="shared" si="7"/>
        <v>95.45454545</v>
      </c>
      <c r="H46" s="15"/>
      <c r="I46" s="15"/>
      <c r="J46" s="15"/>
      <c r="K46" s="15"/>
      <c r="L46" s="15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3">
        <v>2046.0</v>
      </c>
      <c r="B47" s="13" t="s">
        <v>78</v>
      </c>
      <c r="C47" s="13" t="s">
        <v>122</v>
      </c>
      <c r="D47" s="13">
        <v>211.0</v>
      </c>
      <c r="E47" s="14">
        <v>0.0</v>
      </c>
      <c r="F47" s="15">
        <f t="shared" si="1"/>
        <v>192</v>
      </c>
      <c r="G47" s="15">
        <f t="shared" si="7"/>
        <v>191.8181818</v>
      </c>
      <c r="H47" s="15"/>
      <c r="I47" s="15"/>
      <c r="J47" s="15"/>
      <c r="K47" s="15"/>
      <c r="L47" s="15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3">
        <v>2047.0</v>
      </c>
      <c r="B48" s="13" t="s">
        <v>78</v>
      </c>
      <c r="C48" s="13" t="s">
        <v>123</v>
      </c>
      <c r="D48" s="13">
        <v>59.0</v>
      </c>
      <c r="E48" s="14">
        <v>0.0</v>
      </c>
      <c r="F48" s="15">
        <f t="shared" si="1"/>
        <v>54</v>
      </c>
      <c r="G48" s="15">
        <f t="shared" si="7"/>
        <v>53.63636364</v>
      </c>
      <c r="H48" s="15"/>
      <c r="I48" s="15"/>
      <c r="J48" s="15"/>
      <c r="K48" s="15"/>
      <c r="L48" s="15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3">
        <v>2048.0</v>
      </c>
      <c r="B49" s="13" t="s">
        <v>78</v>
      </c>
      <c r="C49" s="13" t="s">
        <v>124</v>
      </c>
      <c r="D49" s="13">
        <v>75.0</v>
      </c>
      <c r="E49" s="14">
        <v>0.0</v>
      </c>
      <c r="F49" s="15">
        <f t="shared" si="1"/>
        <v>69</v>
      </c>
      <c r="G49" s="15">
        <f t="shared" si="7"/>
        <v>68.18181818</v>
      </c>
      <c r="H49" s="15"/>
      <c r="I49" s="15"/>
      <c r="J49" s="15"/>
      <c r="K49" s="15"/>
      <c r="L49" s="15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13">
        <v>2049.0</v>
      </c>
      <c r="B50" s="13" t="s">
        <v>87</v>
      </c>
      <c r="C50" s="13" t="s">
        <v>125</v>
      </c>
      <c r="D50" s="13">
        <v>46.0</v>
      </c>
      <c r="E50" s="14">
        <v>0.0</v>
      </c>
      <c r="F50" s="15">
        <f t="shared" si="1"/>
        <v>43</v>
      </c>
      <c r="G50" s="15">
        <f t="shared" ref="G50:G61" si="8">D50/1.09</f>
        <v>42.20183486</v>
      </c>
      <c r="H50" s="15"/>
      <c r="I50" s="15"/>
      <c r="J50" s="15"/>
      <c r="K50" s="15"/>
      <c r="L50" s="15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13">
        <v>2050.0</v>
      </c>
      <c r="B51" s="13" t="s">
        <v>87</v>
      </c>
      <c r="C51" s="13" t="s">
        <v>126</v>
      </c>
      <c r="D51" s="13">
        <v>46.0</v>
      </c>
      <c r="E51" s="14">
        <v>0.0</v>
      </c>
      <c r="F51" s="15">
        <f t="shared" si="1"/>
        <v>43</v>
      </c>
      <c r="G51" s="15">
        <f t="shared" si="8"/>
        <v>42.20183486</v>
      </c>
      <c r="H51" s="15"/>
      <c r="I51" s="15"/>
      <c r="J51" s="15"/>
      <c r="K51" s="15"/>
      <c r="L51" s="15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3">
        <v>2051.0</v>
      </c>
      <c r="B52" s="13" t="s">
        <v>87</v>
      </c>
      <c r="C52" s="13" t="s">
        <v>127</v>
      </c>
      <c r="D52" s="13">
        <v>40.0</v>
      </c>
      <c r="E52" s="14">
        <v>0.0</v>
      </c>
      <c r="F52" s="15">
        <f t="shared" si="1"/>
        <v>37</v>
      </c>
      <c r="G52" s="15">
        <f t="shared" si="8"/>
        <v>36.69724771</v>
      </c>
      <c r="H52" s="15"/>
      <c r="I52" s="15"/>
      <c r="J52" s="15"/>
      <c r="K52" s="15"/>
      <c r="L52" s="15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3">
        <v>2052.0</v>
      </c>
      <c r="B53" s="13" t="s">
        <v>87</v>
      </c>
      <c r="C53" s="13" t="s">
        <v>128</v>
      </c>
      <c r="D53" s="13">
        <v>90.0</v>
      </c>
      <c r="E53" s="14">
        <v>0.0</v>
      </c>
      <c r="F53" s="15">
        <f t="shared" si="1"/>
        <v>83</v>
      </c>
      <c r="G53" s="15">
        <f t="shared" si="8"/>
        <v>82.56880734</v>
      </c>
      <c r="H53" s="15"/>
      <c r="I53" s="15"/>
      <c r="J53" s="15"/>
      <c r="K53" s="15"/>
      <c r="L53" s="15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3">
        <v>2053.0</v>
      </c>
      <c r="B54" s="13" t="s">
        <v>87</v>
      </c>
      <c r="C54" s="13" t="s">
        <v>129</v>
      </c>
      <c r="D54" s="13">
        <v>60.0</v>
      </c>
      <c r="E54" s="14">
        <v>0.0</v>
      </c>
      <c r="F54" s="15">
        <f t="shared" si="1"/>
        <v>56</v>
      </c>
      <c r="G54" s="15">
        <f t="shared" si="8"/>
        <v>55.04587156</v>
      </c>
      <c r="H54" s="15"/>
      <c r="I54" s="15"/>
      <c r="J54" s="15"/>
      <c r="K54" s="15"/>
      <c r="L54" s="15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3">
        <v>2054.0</v>
      </c>
      <c r="B55" s="13" t="s">
        <v>87</v>
      </c>
      <c r="C55" s="13" t="s">
        <v>130</v>
      </c>
      <c r="D55" s="13">
        <v>55.0</v>
      </c>
      <c r="E55" s="14">
        <v>0.0</v>
      </c>
      <c r="F55" s="15">
        <f t="shared" si="1"/>
        <v>51</v>
      </c>
      <c r="G55" s="15">
        <f t="shared" si="8"/>
        <v>50.4587156</v>
      </c>
      <c r="H55" s="15"/>
      <c r="I55" s="15"/>
      <c r="J55" s="15"/>
      <c r="K55" s="15"/>
      <c r="L55" s="15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3">
        <v>2055.0</v>
      </c>
      <c r="B56" s="13" t="s">
        <v>87</v>
      </c>
      <c r="C56" s="13" t="s">
        <v>131</v>
      </c>
      <c r="D56" s="13">
        <v>60.0</v>
      </c>
      <c r="E56" s="14">
        <v>0.0</v>
      </c>
      <c r="F56" s="15">
        <f t="shared" si="1"/>
        <v>56</v>
      </c>
      <c r="G56" s="15">
        <f t="shared" si="8"/>
        <v>55.04587156</v>
      </c>
      <c r="H56" s="15"/>
      <c r="I56" s="15"/>
      <c r="J56" s="15"/>
      <c r="K56" s="15"/>
      <c r="L56" s="1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3">
        <v>2056.0</v>
      </c>
      <c r="B57" s="13" t="s">
        <v>87</v>
      </c>
      <c r="C57" s="13" t="s">
        <v>132</v>
      </c>
      <c r="D57" s="13">
        <v>23.0</v>
      </c>
      <c r="E57" s="14">
        <v>0.0</v>
      </c>
      <c r="F57" s="15">
        <f t="shared" si="1"/>
        <v>22</v>
      </c>
      <c r="G57" s="15">
        <f t="shared" si="8"/>
        <v>21.10091743</v>
      </c>
      <c r="H57" s="15"/>
      <c r="I57" s="15"/>
      <c r="J57" s="15"/>
      <c r="K57" s="15"/>
      <c r="L57" s="15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3">
        <v>2057.0</v>
      </c>
      <c r="B58" s="13" t="s">
        <v>87</v>
      </c>
      <c r="C58" s="13" t="s">
        <v>133</v>
      </c>
      <c r="D58" s="13">
        <v>25.0</v>
      </c>
      <c r="E58" s="14">
        <v>0.0</v>
      </c>
      <c r="F58" s="15">
        <f t="shared" si="1"/>
        <v>23</v>
      </c>
      <c r="G58" s="15">
        <f t="shared" si="8"/>
        <v>22.93577982</v>
      </c>
      <c r="H58" s="15"/>
      <c r="I58" s="15"/>
      <c r="J58" s="15"/>
      <c r="K58" s="15"/>
      <c r="L58" s="15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3">
        <v>2058.0</v>
      </c>
      <c r="B59" s="13" t="s">
        <v>87</v>
      </c>
      <c r="C59" s="13" t="s">
        <v>134</v>
      </c>
      <c r="D59" s="13">
        <v>164.0</v>
      </c>
      <c r="E59" s="14">
        <v>0.0</v>
      </c>
      <c r="F59" s="15">
        <f t="shared" si="1"/>
        <v>151</v>
      </c>
      <c r="G59" s="15">
        <f t="shared" si="8"/>
        <v>150.4587156</v>
      </c>
      <c r="H59" s="15"/>
      <c r="I59" s="15"/>
      <c r="J59" s="15"/>
      <c r="K59" s="15"/>
      <c r="L59" s="15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13">
        <v>2059.0</v>
      </c>
      <c r="B60" s="13" t="s">
        <v>87</v>
      </c>
      <c r="C60" s="13" t="s">
        <v>135</v>
      </c>
      <c r="D60" s="13">
        <v>120.0</v>
      </c>
      <c r="E60" s="14">
        <v>0.0</v>
      </c>
      <c r="F60" s="15">
        <f t="shared" si="1"/>
        <v>111</v>
      </c>
      <c r="G60" s="15">
        <f t="shared" si="8"/>
        <v>110.0917431</v>
      </c>
      <c r="H60" s="15"/>
      <c r="I60" s="15"/>
      <c r="J60" s="15"/>
      <c r="K60" s="15"/>
      <c r="L60" s="15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13">
        <v>2060.0</v>
      </c>
      <c r="B61" s="13" t="s">
        <v>87</v>
      </c>
      <c r="C61" s="13" t="s">
        <v>136</v>
      </c>
      <c r="D61" s="13">
        <v>170.0</v>
      </c>
      <c r="E61" s="14">
        <v>0.0</v>
      </c>
      <c r="F61" s="15">
        <f t="shared" si="1"/>
        <v>156</v>
      </c>
      <c r="G61" s="15">
        <f t="shared" si="8"/>
        <v>155.9633028</v>
      </c>
      <c r="H61" s="15"/>
      <c r="I61" s="15"/>
      <c r="J61" s="15"/>
      <c r="K61" s="15"/>
      <c r="L61" s="15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3">
        <v>2061.0</v>
      </c>
      <c r="B62" s="13" t="s">
        <v>78</v>
      </c>
      <c r="C62" s="13" t="s">
        <v>137</v>
      </c>
      <c r="D62" s="13">
        <v>115.0</v>
      </c>
      <c r="E62" s="14">
        <v>0.0</v>
      </c>
      <c r="F62" s="15">
        <f t="shared" si="1"/>
        <v>101</v>
      </c>
      <c r="G62" s="15">
        <f t="shared" ref="G62:G65" si="9">D62/1.14</f>
        <v>100.877193</v>
      </c>
      <c r="H62" s="15"/>
      <c r="I62" s="15"/>
      <c r="J62" s="15"/>
      <c r="K62" s="15"/>
      <c r="L62" s="15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13">
        <v>2062.0</v>
      </c>
      <c r="B63" s="13" t="s">
        <v>78</v>
      </c>
      <c r="C63" s="13" t="s">
        <v>138</v>
      </c>
      <c r="D63" s="13">
        <v>115.0</v>
      </c>
      <c r="E63" s="14">
        <v>0.0</v>
      </c>
      <c r="F63" s="15">
        <f t="shared" si="1"/>
        <v>101</v>
      </c>
      <c r="G63" s="15">
        <f t="shared" si="9"/>
        <v>100.877193</v>
      </c>
      <c r="H63" s="15"/>
      <c r="I63" s="15"/>
      <c r="J63" s="15"/>
      <c r="K63" s="15"/>
      <c r="L63" s="15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3">
        <v>2063.0</v>
      </c>
      <c r="B64" s="13" t="s">
        <v>78</v>
      </c>
      <c r="C64" s="13" t="s">
        <v>139</v>
      </c>
      <c r="D64" s="13">
        <v>130.0</v>
      </c>
      <c r="E64" s="14">
        <v>0.0</v>
      </c>
      <c r="F64" s="15">
        <f t="shared" si="1"/>
        <v>115</v>
      </c>
      <c r="G64" s="15">
        <f t="shared" si="9"/>
        <v>114.0350877</v>
      </c>
      <c r="H64" s="15"/>
      <c r="I64" s="15"/>
      <c r="J64" s="15"/>
      <c r="K64" s="15"/>
      <c r="L64" s="15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3">
        <v>2064.0</v>
      </c>
      <c r="B65" s="13" t="s">
        <v>78</v>
      </c>
      <c r="C65" s="13" t="s">
        <v>140</v>
      </c>
      <c r="D65" s="13">
        <v>135.0</v>
      </c>
      <c r="E65" s="14">
        <v>0.0</v>
      </c>
      <c r="F65" s="15">
        <f t="shared" si="1"/>
        <v>119</v>
      </c>
      <c r="G65" s="15">
        <f t="shared" si="9"/>
        <v>118.4210526</v>
      </c>
      <c r="H65" s="15"/>
      <c r="I65" s="15"/>
      <c r="J65" s="15"/>
      <c r="K65" s="15"/>
      <c r="L65" s="15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13">
        <v>2065.0</v>
      </c>
      <c r="B66" s="13" t="s">
        <v>87</v>
      </c>
      <c r="C66" s="13" t="s">
        <v>141</v>
      </c>
      <c r="D66" s="13">
        <v>65.0</v>
      </c>
      <c r="E66" s="14">
        <v>0.0</v>
      </c>
      <c r="F66" s="15">
        <f t="shared" si="1"/>
        <v>60</v>
      </c>
      <c r="G66" s="15">
        <f t="shared" ref="G66:G68" si="10">D66/1.1</f>
        <v>59.09090909</v>
      </c>
      <c r="H66" s="15"/>
      <c r="I66" s="15"/>
      <c r="J66" s="15"/>
      <c r="K66" s="15"/>
      <c r="L66" s="15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3">
        <v>2066.0</v>
      </c>
      <c r="B67" s="13" t="s">
        <v>87</v>
      </c>
      <c r="C67" s="13" t="s">
        <v>142</v>
      </c>
      <c r="D67" s="13">
        <v>65.0</v>
      </c>
      <c r="E67" s="14">
        <v>0.0</v>
      </c>
      <c r="F67" s="15">
        <f t="shared" si="1"/>
        <v>60</v>
      </c>
      <c r="G67" s="15">
        <f t="shared" si="10"/>
        <v>59.09090909</v>
      </c>
      <c r="H67" s="15"/>
      <c r="I67" s="15"/>
      <c r="J67" s="15"/>
      <c r="K67" s="15"/>
      <c r="L67" s="15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13">
        <v>2067.0</v>
      </c>
      <c r="B68" s="13" t="s">
        <v>87</v>
      </c>
      <c r="C68" s="13" t="s">
        <v>143</v>
      </c>
      <c r="D68" s="13">
        <v>75.0</v>
      </c>
      <c r="E68" s="14">
        <v>0.0</v>
      </c>
      <c r="F68" s="15">
        <f t="shared" si="1"/>
        <v>69</v>
      </c>
      <c r="G68" s="15">
        <f t="shared" si="10"/>
        <v>68.18181818</v>
      </c>
      <c r="H68" s="15"/>
      <c r="I68" s="15"/>
      <c r="J68" s="15"/>
      <c r="K68" s="15"/>
      <c r="L68" s="15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3">
        <v>2068.0</v>
      </c>
      <c r="B69" s="13" t="s">
        <v>144</v>
      </c>
      <c r="C69" s="13" t="s">
        <v>145</v>
      </c>
      <c r="D69" s="13">
        <v>325.0</v>
      </c>
      <c r="E69" s="14">
        <v>0.0</v>
      </c>
      <c r="F69" s="15">
        <f t="shared" si="1"/>
        <v>301</v>
      </c>
      <c r="G69" s="15">
        <f>D69/1.08</f>
        <v>300.9259259</v>
      </c>
      <c r="H69" s="16">
        <v>0.02</v>
      </c>
      <c r="I69" s="17">
        <f>G69*H69</f>
        <v>6.018518519</v>
      </c>
      <c r="J69" s="18">
        <v>0.035</v>
      </c>
      <c r="K69" s="15">
        <f>(G69-I69)*J69</f>
        <v>10.32175926</v>
      </c>
      <c r="L69" s="19">
        <f>G69-I69-K69</f>
        <v>284.5856481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3">
        <v>2069.0</v>
      </c>
      <c r="B70" s="13" t="s">
        <v>78</v>
      </c>
      <c r="C70" s="13" t="s">
        <v>146</v>
      </c>
      <c r="D70" s="13">
        <v>259.0</v>
      </c>
      <c r="E70" s="14">
        <v>0.0</v>
      </c>
      <c r="F70" s="15">
        <f t="shared" si="1"/>
        <v>228</v>
      </c>
      <c r="G70" s="15">
        <f t="shared" ref="G70:G83" si="11">D70/1.14</f>
        <v>227.1929825</v>
      </c>
      <c r="H70" s="15"/>
      <c r="I70" s="15"/>
      <c r="J70" s="15"/>
      <c r="K70" s="15"/>
      <c r="L70" s="15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13">
        <v>2070.0</v>
      </c>
      <c r="B71" s="13" t="s">
        <v>78</v>
      </c>
      <c r="C71" s="13" t="s">
        <v>147</v>
      </c>
      <c r="D71" s="13">
        <v>199.0</v>
      </c>
      <c r="E71" s="14">
        <v>0.0</v>
      </c>
      <c r="F71" s="15">
        <f t="shared" si="1"/>
        <v>175</v>
      </c>
      <c r="G71" s="15">
        <f t="shared" si="11"/>
        <v>174.5614035</v>
      </c>
      <c r="H71" s="15"/>
      <c r="I71" s="15"/>
      <c r="J71" s="15"/>
      <c r="K71" s="15"/>
      <c r="L71" s="15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3">
        <v>2071.0</v>
      </c>
      <c r="B72" s="13" t="s">
        <v>78</v>
      </c>
      <c r="C72" s="13" t="s">
        <v>148</v>
      </c>
      <c r="D72" s="13">
        <v>140.0</v>
      </c>
      <c r="E72" s="14">
        <v>0.0</v>
      </c>
      <c r="F72" s="15">
        <f t="shared" si="1"/>
        <v>123</v>
      </c>
      <c r="G72" s="15">
        <f t="shared" si="11"/>
        <v>122.8070175</v>
      </c>
      <c r="H72" s="15"/>
      <c r="I72" s="15"/>
      <c r="J72" s="15"/>
      <c r="K72" s="15"/>
      <c r="L72" s="15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13">
        <v>2072.0</v>
      </c>
      <c r="B73" s="13" t="s">
        <v>78</v>
      </c>
      <c r="C73" s="13" t="s">
        <v>149</v>
      </c>
      <c r="D73" s="13">
        <v>399.0</v>
      </c>
      <c r="E73" s="14">
        <v>0.0</v>
      </c>
      <c r="F73" s="15">
        <f t="shared" si="1"/>
        <v>350</v>
      </c>
      <c r="G73" s="15">
        <f t="shared" si="11"/>
        <v>350</v>
      </c>
      <c r="H73" s="15"/>
      <c r="I73" s="15"/>
      <c r="J73" s="15"/>
      <c r="K73" s="15"/>
      <c r="L73" s="15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3">
        <v>2073.0</v>
      </c>
      <c r="B74" s="13" t="s">
        <v>78</v>
      </c>
      <c r="C74" s="13" t="s">
        <v>150</v>
      </c>
      <c r="D74" s="13">
        <v>280.0</v>
      </c>
      <c r="E74" s="14">
        <v>0.0</v>
      </c>
      <c r="F74" s="15">
        <f t="shared" si="1"/>
        <v>246</v>
      </c>
      <c r="G74" s="15">
        <f t="shared" si="11"/>
        <v>245.6140351</v>
      </c>
      <c r="H74" s="15"/>
      <c r="I74" s="15"/>
      <c r="J74" s="15"/>
      <c r="K74" s="15"/>
      <c r="L74" s="15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3">
        <v>2074.0</v>
      </c>
      <c r="B75" s="13" t="s">
        <v>78</v>
      </c>
      <c r="C75" s="13" t="s">
        <v>151</v>
      </c>
      <c r="D75" s="13">
        <v>125.0</v>
      </c>
      <c r="E75" s="14">
        <v>0.0</v>
      </c>
      <c r="F75" s="15">
        <f t="shared" si="1"/>
        <v>110</v>
      </c>
      <c r="G75" s="15">
        <f t="shared" si="11"/>
        <v>109.6491228</v>
      </c>
      <c r="H75" s="15"/>
      <c r="I75" s="15"/>
      <c r="J75" s="15"/>
      <c r="K75" s="15"/>
      <c r="L75" s="15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3">
        <v>2075.0</v>
      </c>
      <c r="B76" s="13" t="s">
        <v>78</v>
      </c>
      <c r="C76" s="13" t="s">
        <v>152</v>
      </c>
      <c r="D76" s="13">
        <v>210.0</v>
      </c>
      <c r="E76" s="14">
        <v>0.0</v>
      </c>
      <c r="F76" s="15">
        <f t="shared" si="1"/>
        <v>185</v>
      </c>
      <c r="G76" s="15">
        <f t="shared" si="11"/>
        <v>184.2105263</v>
      </c>
      <c r="H76" s="15"/>
      <c r="I76" s="15"/>
      <c r="J76" s="15"/>
      <c r="K76" s="15"/>
      <c r="L76" s="15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3">
        <v>2076.0</v>
      </c>
      <c r="B77" s="13" t="s">
        <v>78</v>
      </c>
      <c r="C77" s="13" t="s">
        <v>153</v>
      </c>
      <c r="D77" s="13">
        <v>120.0</v>
      </c>
      <c r="E77" s="14">
        <v>0.0</v>
      </c>
      <c r="F77" s="15">
        <f t="shared" si="1"/>
        <v>106</v>
      </c>
      <c r="G77" s="15">
        <f t="shared" si="11"/>
        <v>105.2631579</v>
      </c>
      <c r="H77" s="15"/>
      <c r="I77" s="15"/>
      <c r="J77" s="15"/>
      <c r="K77" s="15"/>
      <c r="L77" s="15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3">
        <v>2077.0</v>
      </c>
      <c r="B78" s="13" t="s">
        <v>78</v>
      </c>
      <c r="C78" s="13" t="s">
        <v>154</v>
      </c>
      <c r="D78" s="13">
        <v>274.0</v>
      </c>
      <c r="E78" s="14">
        <v>0.0</v>
      </c>
      <c r="F78" s="15">
        <f t="shared" si="1"/>
        <v>241</v>
      </c>
      <c r="G78" s="15">
        <f t="shared" si="11"/>
        <v>240.3508772</v>
      </c>
      <c r="H78" s="15"/>
      <c r="I78" s="15"/>
      <c r="J78" s="15"/>
      <c r="K78" s="15"/>
      <c r="L78" s="15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3">
        <v>2078.0</v>
      </c>
      <c r="B79" s="13" t="s">
        <v>78</v>
      </c>
      <c r="C79" s="13" t="s">
        <v>153</v>
      </c>
      <c r="D79" s="13">
        <v>155.0</v>
      </c>
      <c r="E79" s="14">
        <v>0.0</v>
      </c>
      <c r="F79" s="15">
        <f t="shared" si="1"/>
        <v>136</v>
      </c>
      <c r="G79" s="15">
        <f t="shared" si="11"/>
        <v>135.9649123</v>
      </c>
      <c r="H79" s="15"/>
      <c r="I79" s="15"/>
      <c r="J79" s="15"/>
      <c r="K79" s="15"/>
      <c r="L79" s="15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3">
        <v>2079.0</v>
      </c>
      <c r="B80" s="13" t="s">
        <v>78</v>
      </c>
      <c r="C80" s="13" t="s">
        <v>155</v>
      </c>
      <c r="D80" s="13">
        <v>69.0</v>
      </c>
      <c r="E80" s="14">
        <v>0.0</v>
      </c>
      <c r="F80" s="15">
        <f t="shared" si="1"/>
        <v>61</v>
      </c>
      <c r="G80" s="15">
        <f t="shared" si="11"/>
        <v>60.52631579</v>
      </c>
      <c r="H80" s="15"/>
      <c r="I80" s="15"/>
      <c r="J80" s="15"/>
      <c r="K80" s="15"/>
      <c r="L80" s="15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3">
        <v>2080.0</v>
      </c>
      <c r="B81" s="13" t="s">
        <v>78</v>
      </c>
      <c r="C81" s="13" t="s">
        <v>151</v>
      </c>
      <c r="D81" s="13">
        <v>145.0</v>
      </c>
      <c r="E81" s="14">
        <v>0.0</v>
      </c>
      <c r="F81" s="15">
        <f t="shared" si="1"/>
        <v>128</v>
      </c>
      <c r="G81" s="15">
        <f t="shared" si="11"/>
        <v>127.1929825</v>
      </c>
      <c r="H81" s="15"/>
      <c r="I81" s="15"/>
      <c r="J81" s="15"/>
      <c r="K81" s="15"/>
      <c r="L81" s="15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3">
        <v>2081.0</v>
      </c>
      <c r="B82" s="13" t="s">
        <v>78</v>
      </c>
      <c r="C82" s="13" t="s">
        <v>154</v>
      </c>
      <c r="D82" s="13">
        <v>325.0</v>
      </c>
      <c r="E82" s="14">
        <v>0.0</v>
      </c>
      <c r="F82" s="15">
        <f t="shared" si="1"/>
        <v>286</v>
      </c>
      <c r="G82" s="15">
        <f t="shared" si="11"/>
        <v>285.0877193</v>
      </c>
      <c r="H82" s="15"/>
      <c r="I82" s="15"/>
      <c r="J82" s="15"/>
      <c r="K82" s="15"/>
      <c r="L82" s="1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3">
        <v>2082.0</v>
      </c>
      <c r="B83" s="13" t="s">
        <v>78</v>
      </c>
      <c r="C83" s="13" t="s">
        <v>156</v>
      </c>
      <c r="D83" s="13">
        <v>175.0</v>
      </c>
      <c r="E83" s="14">
        <v>0.0</v>
      </c>
      <c r="F83" s="15">
        <f t="shared" si="1"/>
        <v>154</v>
      </c>
      <c r="G83" s="15">
        <f t="shared" si="11"/>
        <v>153.5087719</v>
      </c>
      <c r="H83" s="15"/>
      <c r="I83" s="15"/>
      <c r="J83" s="15"/>
      <c r="K83" s="15"/>
      <c r="L83" s="15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3">
        <v>2083.0</v>
      </c>
      <c r="B84" s="13" t="s">
        <v>76</v>
      </c>
      <c r="C84" s="13" t="s">
        <v>157</v>
      </c>
      <c r="D84" s="13">
        <v>215.0</v>
      </c>
      <c r="E84" s="14">
        <v>0.0</v>
      </c>
      <c r="F84" s="15">
        <f t="shared" si="1"/>
        <v>200</v>
      </c>
      <c r="G84" s="15">
        <f>D84/1.08</f>
        <v>199.0740741</v>
      </c>
      <c r="H84" s="15"/>
      <c r="I84" s="15"/>
      <c r="J84" s="15"/>
      <c r="K84" s="15"/>
      <c r="L84" s="15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3">
        <v>2084.0</v>
      </c>
      <c r="B85" s="13" t="s">
        <v>78</v>
      </c>
      <c r="C85" s="13" t="s">
        <v>158</v>
      </c>
      <c r="D85" s="13">
        <v>395.0</v>
      </c>
      <c r="E85" s="14">
        <v>0.0</v>
      </c>
      <c r="F85" s="15">
        <f t="shared" si="1"/>
        <v>347</v>
      </c>
      <c r="G85" s="15">
        <f t="shared" ref="G85:G88" si="12">D85/1.14</f>
        <v>346.4912281</v>
      </c>
      <c r="H85" s="15"/>
      <c r="I85" s="15"/>
      <c r="J85" s="15"/>
      <c r="K85" s="15"/>
      <c r="L85" s="15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3">
        <v>2085.0</v>
      </c>
      <c r="B86" s="13" t="s">
        <v>78</v>
      </c>
      <c r="C86" s="13" t="s">
        <v>159</v>
      </c>
      <c r="D86" s="13">
        <v>99.0</v>
      </c>
      <c r="E86" s="14">
        <v>0.0</v>
      </c>
      <c r="F86" s="15">
        <f t="shared" si="1"/>
        <v>87</v>
      </c>
      <c r="G86" s="15">
        <f t="shared" si="12"/>
        <v>86.84210526</v>
      </c>
      <c r="H86" s="15"/>
      <c r="I86" s="15"/>
      <c r="J86" s="15"/>
      <c r="K86" s="15"/>
      <c r="L86" s="15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3">
        <v>2086.0</v>
      </c>
      <c r="B87" s="13" t="s">
        <v>78</v>
      </c>
      <c r="C87" s="13" t="s">
        <v>160</v>
      </c>
      <c r="D87" s="13">
        <v>395.0</v>
      </c>
      <c r="E87" s="14">
        <v>0.0</v>
      </c>
      <c r="F87" s="15">
        <f t="shared" si="1"/>
        <v>347</v>
      </c>
      <c r="G87" s="15">
        <f t="shared" si="12"/>
        <v>346.4912281</v>
      </c>
      <c r="H87" s="15"/>
      <c r="I87" s="15"/>
      <c r="J87" s="15"/>
      <c r="K87" s="15"/>
      <c r="L87" s="15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3">
        <v>2087.0</v>
      </c>
      <c r="B88" s="13" t="s">
        <v>78</v>
      </c>
      <c r="C88" s="13" t="s">
        <v>161</v>
      </c>
      <c r="D88" s="13">
        <v>340.0</v>
      </c>
      <c r="E88" s="14">
        <v>0.0</v>
      </c>
      <c r="F88" s="15">
        <f t="shared" si="1"/>
        <v>299</v>
      </c>
      <c r="G88" s="15">
        <f t="shared" si="12"/>
        <v>298.245614</v>
      </c>
      <c r="H88" s="15"/>
      <c r="I88" s="15"/>
      <c r="J88" s="15"/>
      <c r="K88" s="15"/>
      <c r="L88" s="15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3">
        <v>2088.0</v>
      </c>
      <c r="B89" s="13" t="s">
        <v>76</v>
      </c>
      <c r="C89" s="13" t="s">
        <v>162</v>
      </c>
      <c r="D89" s="13">
        <v>100.0</v>
      </c>
      <c r="E89" s="14">
        <v>0.0</v>
      </c>
      <c r="F89" s="15">
        <f t="shared" si="1"/>
        <v>93</v>
      </c>
      <c r="G89" s="15">
        <f t="shared" ref="G89:G91" si="13">D89/1.08</f>
        <v>92.59259259</v>
      </c>
      <c r="H89" s="15"/>
      <c r="I89" s="15"/>
      <c r="J89" s="15"/>
      <c r="K89" s="15"/>
      <c r="L89" s="15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3">
        <v>2089.0</v>
      </c>
      <c r="B90" s="13" t="s">
        <v>76</v>
      </c>
      <c r="C90" s="13" t="s">
        <v>163</v>
      </c>
      <c r="D90" s="13">
        <v>99.0</v>
      </c>
      <c r="E90" s="14">
        <v>0.0</v>
      </c>
      <c r="F90" s="15">
        <f t="shared" si="1"/>
        <v>92</v>
      </c>
      <c r="G90" s="15">
        <f t="shared" si="13"/>
        <v>91.66666667</v>
      </c>
      <c r="H90" s="15"/>
      <c r="I90" s="15"/>
      <c r="J90" s="15"/>
      <c r="K90" s="15"/>
      <c r="L90" s="15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3">
        <v>2090.0</v>
      </c>
      <c r="B91" s="13" t="s">
        <v>76</v>
      </c>
      <c r="C91" s="13" t="s">
        <v>164</v>
      </c>
      <c r="D91" s="13">
        <v>125.0</v>
      </c>
      <c r="E91" s="14">
        <v>0.0</v>
      </c>
      <c r="F91" s="15">
        <f t="shared" si="1"/>
        <v>116</v>
      </c>
      <c r="G91" s="15">
        <f t="shared" si="13"/>
        <v>115.7407407</v>
      </c>
      <c r="H91" s="15"/>
      <c r="I91" s="15"/>
      <c r="J91" s="15"/>
      <c r="K91" s="15"/>
      <c r="L91" s="15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3">
        <v>2091.0</v>
      </c>
      <c r="B92" s="13" t="s">
        <v>78</v>
      </c>
      <c r="C92" s="13" t="s">
        <v>165</v>
      </c>
      <c r="D92" s="13">
        <v>135.0</v>
      </c>
      <c r="E92" s="14">
        <v>0.0</v>
      </c>
      <c r="F92" s="15">
        <f t="shared" si="1"/>
        <v>119</v>
      </c>
      <c r="G92" s="15">
        <f t="shared" ref="G92:G94" si="14">D92/1.14</f>
        <v>118.4210526</v>
      </c>
      <c r="H92" s="15"/>
      <c r="I92" s="15"/>
      <c r="J92" s="15"/>
      <c r="K92" s="15"/>
      <c r="L92" s="15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3">
        <v>2092.0</v>
      </c>
      <c r="B93" s="13" t="s">
        <v>78</v>
      </c>
      <c r="C93" s="13" t="s">
        <v>166</v>
      </c>
      <c r="D93" s="13">
        <v>99.0</v>
      </c>
      <c r="E93" s="14">
        <v>0.0</v>
      </c>
      <c r="F93" s="15">
        <f t="shared" si="1"/>
        <v>87</v>
      </c>
      <c r="G93" s="15">
        <f t="shared" si="14"/>
        <v>86.84210526</v>
      </c>
      <c r="H93" s="15"/>
      <c r="I93" s="15"/>
      <c r="J93" s="15"/>
      <c r="K93" s="15"/>
      <c r="L93" s="15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3">
        <v>2093.0</v>
      </c>
      <c r="B94" s="13" t="s">
        <v>78</v>
      </c>
      <c r="C94" s="13" t="s">
        <v>167</v>
      </c>
      <c r="D94" s="13">
        <v>199.0</v>
      </c>
      <c r="E94" s="14">
        <v>0.0</v>
      </c>
      <c r="F94" s="15">
        <f t="shared" si="1"/>
        <v>175</v>
      </c>
      <c r="G94" s="15">
        <f t="shared" si="14"/>
        <v>174.5614035</v>
      </c>
      <c r="H94" s="15"/>
      <c r="I94" s="15"/>
      <c r="J94" s="15"/>
      <c r="K94" s="15"/>
      <c r="L94" s="15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3">
        <v>2094.0</v>
      </c>
      <c r="B95" s="13" t="s">
        <v>76</v>
      </c>
      <c r="C95" s="13" t="s">
        <v>168</v>
      </c>
      <c r="D95" s="13">
        <v>104.0</v>
      </c>
      <c r="E95" s="14">
        <v>0.0</v>
      </c>
      <c r="F95" s="15">
        <f t="shared" si="1"/>
        <v>97</v>
      </c>
      <c r="G95" s="15">
        <f>D95/1.08</f>
        <v>96.2962963</v>
      </c>
      <c r="H95" s="15"/>
      <c r="I95" s="15"/>
      <c r="J95" s="15"/>
      <c r="K95" s="15"/>
      <c r="L95" s="15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3">
        <v>2095.0</v>
      </c>
      <c r="B96" s="13" t="s">
        <v>78</v>
      </c>
      <c r="C96" s="13" t="s">
        <v>169</v>
      </c>
      <c r="D96" s="13">
        <v>225.0</v>
      </c>
      <c r="E96" s="14">
        <v>0.0</v>
      </c>
      <c r="F96" s="15">
        <f t="shared" si="1"/>
        <v>198</v>
      </c>
      <c r="G96" s="15">
        <f>D96/1.14</f>
        <v>197.3684211</v>
      </c>
      <c r="H96" s="15"/>
      <c r="I96" s="15"/>
      <c r="J96" s="15"/>
      <c r="K96" s="15"/>
      <c r="L96" s="15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3">
        <v>2096.0</v>
      </c>
      <c r="B97" s="13" t="s">
        <v>76</v>
      </c>
      <c r="C97" s="13" t="s">
        <v>170</v>
      </c>
      <c r="D97" s="13">
        <v>128.0</v>
      </c>
      <c r="E97" s="14">
        <v>0.0</v>
      </c>
      <c r="F97" s="15">
        <f t="shared" si="1"/>
        <v>119</v>
      </c>
      <c r="G97" s="15">
        <f>D97/1.08</f>
        <v>118.5185185</v>
      </c>
      <c r="H97" s="15"/>
      <c r="I97" s="15"/>
      <c r="J97" s="15"/>
      <c r="K97" s="15"/>
      <c r="L97" s="15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3">
        <v>2097.0</v>
      </c>
      <c r="B98" s="13" t="s">
        <v>78</v>
      </c>
      <c r="C98" s="13" t="s">
        <v>171</v>
      </c>
      <c r="D98" s="13">
        <v>131.0</v>
      </c>
      <c r="E98" s="14">
        <v>0.0</v>
      </c>
      <c r="F98" s="15">
        <f t="shared" si="1"/>
        <v>120</v>
      </c>
      <c r="G98" s="15">
        <f t="shared" ref="G98:G101" si="15">D98/1.1</f>
        <v>119.0909091</v>
      </c>
      <c r="H98" s="15"/>
      <c r="I98" s="15"/>
      <c r="J98" s="15"/>
      <c r="K98" s="15"/>
      <c r="L98" s="15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3">
        <v>2098.0</v>
      </c>
      <c r="B99" s="13" t="s">
        <v>78</v>
      </c>
      <c r="C99" s="13" t="s">
        <v>172</v>
      </c>
      <c r="D99" s="13">
        <v>61.0</v>
      </c>
      <c r="E99" s="14">
        <v>0.0</v>
      </c>
      <c r="F99" s="15">
        <f t="shared" si="1"/>
        <v>56</v>
      </c>
      <c r="G99" s="15">
        <f t="shared" si="15"/>
        <v>55.45454545</v>
      </c>
      <c r="H99" s="15"/>
      <c r="I99" s="15"/>
      <c r="J99" s="15"/>
      <c r="K99" s="15"/>
      <c r="L99" s="15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3">
        <v>2099.0</v>
      </c>
      <c r="B100" s="13" t="s">
        <v>78</v>
      </c>
      <c r="C100" s="13" t="s">
        <v>173</v>
      </c>
      <c r="D100" s="13">
        <v>49.0</v>
      </c>
      <c r="E100" s="14">
        <v>0.0</v>
      </c>
      <c r="F100" s="15">
        <f t="shared" si="1"/>
        <v>45</v>
      </c>
      <c r="G100" s="15">
        <f t="shared" si="15"/>
        <v>44.54545455</v>
      </c>
      <c r="H100" s="15"/>
      <c r="I100" s="15"/>
      <c r="J100" s="15"/>
      <c r="K100" s="15"/>
      <c r="L100" s="15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3">
        <v>2100.0</v>
      </c>
      <c r="B101" s="13" t="s">
        <v>78</v>
      </c>
      <c r="C101" s="13" t="s">
        <v>174</v>
      </c>
      <c r="D101" s="13">
        <v>94.0</v>
      </c>
      <c r="E101" s="14">
        <v>0.0</v>
      </c>
      <c r="F101" s="15">
        <f t="shared" si="1"/>
        <v>86</v>
      </c>
      <c r="G101" s="15">
        <f t="shared" si="15"/>
        <v>85.45454545</v>
      </c>
      <c r="H101" s="15"/>
      <c r="I101" s="15"/>
      <c r="J101" s="15"/>
      <c r="K101" s="15"/>
      <c r="L101" s="15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3">
        <v>2101.0</v>
      </c>
      <c r="B102" s="13" t="s">
        <v>78</v>
      </c>
      <c r="C102" s="13" t="s">
        <v>175</v>
      </c>
      <c r="D102" s="13">
        <v>125.0</v>
      </c>
      <c r="E102" s="14">
        <v>0.0</v>
      </c>
      <c r="F102" s="15">
        <f t="shared" si="1"/>
        <v>110</v>
      </c>
      <c r="G102" s="15">
        <f t="shared" ref="G102:G108" si="16">D102/1.14</f>
        <v>109.6491228</v>
      </c>
      <c r="H102" s="15"/>
      <c r="I102" s="15"/>
      <c r="J102" s="15"/>
      <c r="K102" s="15"/>
      <c r="L102" s="15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3">
        <v>2102.0</v>
      </c>
      <c r="B103" s="13" t="s">
        <v>78</v>
      </c>
      <c r="C103" s="13" t="s">
        <v>176</v>
      </c>
      <c r="D103" s="13">
        <v>150.0</v>
      </c>
      <c r="E103" s="14">
        <v>0.0</v>
      </c>
      <c r="F103" s="15">
        <f t="shared" si="1"/>
        <v>132</v>
      </c>
      <c r="G103" s="15">
        <f t="shared" si="16"/>
        <v>131.5789474</v>
      </c>
      <c r="H103" s="15"/>
      <c r="I103" s="15"/>
      <c r="J103" s="15"/>
      <c r="K103" s="15"/>
      <c r="L103" s="15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3">
        <v>2103.0</v>
      </c>
      <c r="B104" s="13" t="s">
        <v>78</v>
      </c>
      <c r="C104" s="13" t="s">
        <v>177</v>
      </c>
      <c r="D104" s="13">
        <v>180.0</v>
      </c>
      <c r="E104" s="14">
        <v>0.0</v>
      </c>
      <c r="F104" s="15">
        <f t="shared" si="1"/>
        <v>158</v>
      </c>
      <c r="G104" s="15">
        <f t="shared" si="16"/>
        <v>157.8947368</v>
      </c>
      <c r="H104" s="15"/>
      <c r="I104" s="15"/>
      <c r="J104" s="15"/>
      <c r="K104" s="15"/>
      <c r="L104" s="15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3">
        <v>2104.0</v>
      </c>
      <c r="B105" s="13" t="s">
        <v>78</v>
      </c>
      <c r="C105" s="13" t="s">
        <v>178</v>
      </c>
      <c r="D105" s="13">
        <v>60.0</v>
      </c>
      <c r="E105" s="14">
        <v>0.0</v>
      </c>
      <c r="F105" s="15">
        <f t="shared" si="1"/>
        <v>53</v>
      </c>
      <c r="G105" s="15">
        <f t="shared" si="16"/>
        <v>52.63157895</v>
      </c>
      <c r="H105" s="15"/>
      <c r="I105" s="15"/>
      <c r="J105" s="15"/>
      <c r="K105" s="15"/>
      <c r="L105" s="15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3">
        <v>2105.0</v>
      </c>
      <c r="B106" s="13" t="s">
        <v>78</v>
      </c>
      <c r="C106" s="13" t="s">
        <v>179</v>
      </c>
      <c r="D106" s="13">
        <v>299.0</v>
      </c>
      <c r="E106" s="14">
        <v>0.0</v>
      </c>
      <c r="F106" s="15">
        <f t="shared" si="1"/>
        <v>263</v>
      </c>
      <c r="G106" s="15">
        <f t="shared" si="16"/>
        <v>262.2807018</v>
      </c>
      <c r="H106" s="15"/>
      <c r="I106" s="15"/>
      <c r="J106" s="15"/>
      <c r="K106" s="15"/>
      <c r="L106" s="15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3">
        <v>2106.0</v>
      </c>
      <c r="B107" s="13" t="s">
        <v>78</v>
      </c>
      <c r="C107" s="13" t="s">
        <v>180</v>
      </c>
      <c r="D107" s="13">
        <v>75.0</v>
      </c>
      <c r="E107" s="14">
        <v>0.0</v>
      </c>
      <c r="F107" s="15">
        <f t="shared" si="1"/>
        <v>66</v>
      </c>
      <c r="G107" s="15">
        <f t="shared" si="16"/>
        <v>65.78947368</v>
      </c>
      <c r="H107" s="15"/>
      <c r="I107" s="15"/>
      <c r="J107" s="15"/>
      <c r="K107" s="15"/>
      <c r="L107" s="15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3">
        <v>2107.0</v>
      </c>
      <c r="B108" s="13" t="s">
        <v>78</v>
      </c>
      <c r="C108" s="13" t="s">
        <v>181</v>
      </c>
      <c r="D108" s="13">
        <v>199.0</v>
      </c>
      <c r="E108" s="14">
        <v>0.0</v>
      </c>
      <c r="F108" s="15">
        <f t="shared" si="1"/>
        <v>175</v>
      </c>
      <c r="G108" s="15">
        <f t="shared" si="16"/>
        <v>174.5614035</v>
      </c>
      <c r="H108" s="15"/>
      <c r="I108" s="15"/>
      <c r="J108" s="15"/>
      <c r="K108" s="15"/>
      <c r="L108" s="1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3">
        <v>2108.0</v>
      </c>
      <c r="B109" s="13" t="s">
        <v>78</v>
      </c>
      <c r="C109" s="13" t="s">
        <v>182</v>
      </c>
      <c r="D109" s="13">
        <v>99.0</v>
      </c>
      <c r="E109" s="14">
        <v>0.0</v>
      </c>
      <c r="F109" s="15">
        <f t="shared" si="1"/>
        <v>90</v>
      </c>
      <c r="G109" s="15">
        <f>D109/1.1</f>
        <v>90</v>
      </c>
      <c r="H109" s="15"/>
      <c r="I109" s="15"/>
      <c r="J109" s="15"/>
      <c r="K109" s="15"/>
      <c r="L109" s="15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3">
        <v>2109.0</v>
      </c>
      <c r="B110" s="13" t="s">
        <v>78</v>
      </c>
      <c r="C110" s="13" t="s">
        <v>183</v>
      </c>
      <c r="D110" s="13">
        <v>110.0</v>
      </c>
      <c r="E110" s="14">
        <v>0.0</v>
      </c>
      <c r="F110" s="15">
        <f t="shared" si="1"/>
        <v>97</v>
      </c>
      <c r="G110" s="15">
        <f t="shared" ref="G110:G112" si="17">D110/1.14</f>
        <v>96.49122807</v>
      </c>
      <c r="H110" s="15"/>
      <c r="I110" s="15"/>
      <c r="J110" s="15"/>
      <c r="K110" s="15"/>
      <c r="L110" s="15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3">
        <v>2110.0</v>
      </c>
      <c r="B111" s="13" t="s">
        <v>78</v>
      </c>
      <c r="C111" s="13" t="s">
        <v>184</v>
      </c>
      <c r="D111" s="13">
        <v>220.0</v>
      </c>
      <c r="E111" s="14">
        <v>0.0</v>
      </c>
      <c r="F111" s="15">
        <f t="shared" si="1"/>
        <v>193</v>
      </c>
      <c r="G111" s="15">
        <f t="shared" si="17"/>
        <v>192.9824561</v>
      </c>
      <c r="H111" s="15"/>
      <c r="I111" s="15"/>
      <c r="J111" s="15"/>
      <c r="K111" s="15"/>
      <c r="L111" s="15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3">
        <v>2111.0</v>
      </c>
      <c r="B112" s="13" t="s">
        <v>78</v>
      </c>
      <c r="C112" s="13" t="s">
        <v>185</v>
      </c>
      <c r="D112" s="13">
        <v>230.0</v>
      </c>
      <c r="E112" s="14">
        <v>0.0</v>
      </c>
      <c r="F112" s="15">
        <f t="shared" si="1"/>
        <v>202</v>
      </c>
      <c r="G112" s="15">
        <f t="shared" si="17"/>
        <v>201.754386</v>
      </c>
      <c r="H112" s="15"/>
      <c r="I112" s="15"/>
      <c r="J112" s="15"/>
      <c r="K112" s="15"/>
      <c r="L112" s="15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3">
        <v>2112.0</v>
      </c>
      <c r="B113" s="13" t="s">
        <v>78</v>
      </c>
      <c r="C113" s="13" t="s">
        <v>186</v>
      </c>
      <c r="D113" s="13">
        <v>125.0</v>
      </c>
      <c r="E113" s="14">
        <v>0.0</v>
      </c>
      <c r="F113" s="15">
        <f t="shared" si="1"/>
        <v>114</v>
      </c>
      <c r="G113" s="15">
        <f t="shared" ref="G113:G114" si="18">D113/1.1</f>
        <v>113.6363636</v>
      </c>
      <c r="H113" s="15"/>
      <c r="I113" s="15"/>
      <c r="J113" s="15"/>
      <c r="K113" s="15"/>
      <c r="L113" s="15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3">
        <v>2113.0</v>
      </c>
      <c r="B114" s="13" t="s">
        <v>76</v>
      </c>
      <c r="C114" s="13" t="s">
        <v>187</v>
      </c>
      <c r="D114" s="13">
        <v>140.0</v>
      </c>
      <c r="E114" s="14">
        <v>0.0</v>
      </c>
      <c r="F114" s="15">
        <f t="shared" si="1"/>
        <v>128</v>
      </c>
      <c r="G114" s="15">
        <f t="shared" si="18"/>
        <v>127.2727273</v>
      </c>
      <c r="H114" s="15"/>
      <c r="I114" s="15"/>
      <c r="J114" s="15"/>
      <c r="K114" s="15"/>
      <c r="L114" s="15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3">
        <v>2114.0</v>
      </c>
      <c r="B115" s="13" t="s">
        <v>78</v>
      </c>
      <c r="C115" s="13" t="s">
        <v>188</v>
      </c>
      <c r="D115" s="13">
        <v>75.0</v>
      </c>
      <c r="E115" s="14">
        <v>0.0</v>
      </c>
      <c r="F115" s="15">
        <f t="shared" si="1"/>
        <v>66</v>
      </c>
      <c r="G115" s="15">
        <f t="shared" ref="G115:G116" si="19">D115/1.14</f>
        <v>65.78947368</v>
      </c>
      <c r="H115" s="15"/>
      <c r="I115" s="15"/>
      <c r="J115" s="15"/>
      <c r="K115" s="15"/>
      <c r="L115" s="15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3">
        <v>2115.0</v>
      </c>
      <c r="B116" s="13" t="s">
        <v>78</v>
      </c>
      <c r="C116" s="13" t="s">
        <v>189</v>
      </c>
      <c r="D116" s="13">
        <v>194.0</v>
      </c>
      <c r="E116" s="14">
        <v>0.0</v>
      </c>
      <c r="F116" s="15">
        <f t="shared" si="1"/>
        <v>171</v>
      </c>
      <c r="G116" s="15">
        <f t="shared" si="19"/>
        <v>170.1754386</v>
      </c>
      <c r="H116" s="15"/>
      <c r="I116" s="15"/>
      <c r="J116" s="15"/>
      <c r="K116" s="15"/>
      <c r="L116" s="15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3">
        <v>2116.0</v>
      </c>
      <c r="B117" s="13" t="s">
        <v>78</v>
      </c>
      <c r="C117" s="13" t="s">
        <v>190</v>
      </c>
      <c r="D117" s="13">
        <v>69.0</v>
      </c>
      <c r="E117" s="14">
        <v>0.0</v>
      </c>
      <c r="F117" s="15">
        <f t="shared" si="1"/>
        <v>63</v>
      </c>
      <c r="G117" s="15">
        <f t="shared" ref="G117:G119" si="20">D117/1.1</f>
        <v>62.72727273</v>
      </c>
      <c r="H117" s="15"/>
      <c r="I117" s="15"/>
      <c r="J117" s="15"/>
      <c r="K117" s="15"/>
      <c r="L117" s="15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3">
        <v>2117.0</v>
      </c>
      <c r="B118" s="13" t="s">
        <v>78</v>
      </c>
      <c r="C118" s="13" t="s">
        <v>191</v>
      </c>
      <c r="D118" s="13">
        <v>128.0</v>
      </c>
      <c r="E118" s="14">
        <v>0.0</v>
      </c>
      <c r="F118" s="15">
        <f t="shared" si="1"/>
        <v>117</v>
      </c>
      <c r="G118" s="15">
        <f t="shared" si="20"/>
        <v>116.3636364</v>
      </c>
      <c r="H118" s="15"/>
      <c r="I118" s="15"/>
      <c r="J118" s="15"/>
      <c r="K118" s="15"/>
      <c r="L118" s="15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3">
        <v>2118.0</v>
      </c>
      <c r="B119" s="13" t="s">
        <v>78</v>
      </c>
      <c r="C119" s="13" t="s">
        <v>192</v>
      </c>
      <c r="D119" s="13">
        <v>440.0</v>
      </c>
      <c r="E119" s="14">
        <v>0.0</v>
      </c>
      <c r="F119" s="15">
        <f t="shared" si="1"/>
        <v>400</v>
      </c>
      <c r="G119" s="15">
        <f t="shared" si="20"/>
        <v>400</v>
      </c>
      <c r="H119" s="15"/>
      <c r="I119" s="15"/>
      <c r="J119" s="15"/>
      <c r="K119" s="15"/>
      <c r="L119" s="15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3">
        <v>2119.0</v>
      </c>
      <c r="B120" s="13" t="s">
        <v>78</v>
      </c>
      <c r="C120" s="13" t="s">
        <v>189</v>
      </c>
      <c r="D120" s="13">
        <v>130.0</v>
      </c>
      <c r="E120" s="14">
        <v>0.0</v>
      </c>
      <c r="F120" s="15">
        <f t="shared" si="1"/>
        <v>115</v>
      </c>
      <c r="G120" s="15">
        <f t="shared" ref="G120:G121" si="21">D120/1.14</f>
        <v>114.0350877</v>
      </c>
      <c r="H120" s="15"/>
      <c r="I120" s="15"/>
      <c r="J120" s="15"/>
      <c r="K120" s="15"/>
      <c r="L120" s="15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3">
        <v>2120.0</v>
      </c>
      <c r="B121" s="13" t="s">
        <v>78</v>
      </c>
      <c r="C121" s="13" t="s">
        <v>193</v>
      </c>
      <c r="D121" s="13">
        <v>109.0</v>
      </c>
      <c r="E121" s="14">
        <v>0.0</v>
      </c>
      <c r="F121" s="15">
        <f t="shared" si="1"/>
        <v>96</v>
      </c>
      <c r="G121" s="15">
        <f t="shared" si="21"/>
        <v>95.61403509</v>
      </c>
      <c r="H121" s="15"/>
      <c r="I121" s="15"/>
      <c r="J121" s="15"/>
      <c r="K121" s="15"/>
      <c r="L121" s="15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3">
        <v>2121.0</v>
      </c>
      <c r="B122" s="13" t="s">
        <v>87</v>
      </c>
      <c r="C122" s="13" t="s">
        <v>194</v>
      </c>
      <c r="D122" s="13">
        <v>100.0</v>
      </c>
      <c r="E122" s="14">
        <v>0.0</v>
      </c>
      <c r="F122" s="15">
        <f t="shared" si="1"/>
        <v>94</v>
      </c>
      <c r="G122" s="15">
        <f>D122/1.07</f>
        <v>93.45794393</v>
      </c>
      <c r="H122" s="15"/>
      <c r="I122" s="15"/>
      <c r="J122" s="15"/>
      <c r="K122" s="15"/>
      <c r="L122" s="15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3">
        <v>2122.0</v>
      </c>
      <c r="B123" s="13" t="s">
        <v>87</v>
      </c>
      <c r="C123" s="13" t="s">
        <v>195</v>
      </c>
      <c r="D123" s="13">
        <v>110.0</v>
      </c>
      <c r="E123" s="14">
        <v>0.0</v>
      </c>
      <c r="F123" s="15">
        <f t="shared" si="1"/>
        <v>100</v>
      </c>
      <c r="G123" s="15">
        <f t="shared" ref="G123:G125" si="22">D123/1.1</f>
        <v>100</v>
      </c>
      <c r="H123" s="15"/>
      <c r="I123" s="15"/>
      <c r="J123" s="15"/>
      <c r="K123" s="15"/>
      <c r="L123" s="15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3">
        <v>2123.0</v>
      </c>
      <c r="B124" s="13" t="s">
        <v>87</v>
      </c>
      <c r="C124" s="13" t="s">
        <v>196</v>
      </c>
      <c r="D124" s="13">
        <v>140.0</v>
      </c>
      <c r="E124" s="14">
        <v>0.0</v>
      </c>
      <c r="F124" s="15">
        <f t="shared" si="1"/>
        <v>128</v>
      </c>
      <c r="G124" s="15">
        <f t="shared" si="22"/>
        <v>127.2727273</v>
      </c>
      <c r="H124" s="15"/>
      <c r="I124" s="15"/>
      <c r="J124" s="15"/>
      <c r="K124" s="15"/>
      <c r="L124" s="15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3">
        <v>2124.0</v>
      </c>
      <c r="B125" s="13" t="s">
        <v>87</v>
      </c>
      <c r="C125" s="13" t="s">
        <v>197</v>
      </c>
      <c r="D125" s="13">
        <v>50.0</v>
      </c>
      <c r="E125" s="14">
        <v>0.0</v>
      </c>
      <c r="F125" s="15">
        <f t="shared" si="1"/>
        <v>46</v>
      </c>
      <c r="G125" s="15">
        <f t="shared" si="22"/>
        <v>45.45454545</v>
      </c>
      <c r="H125" s="15"/>
      <c r="I125" s="15"/>
      <c r="J125" s="15"/>
      <c r="K125" s="15"/>
      <c r="L125" s="15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3">
        <v>2125.0</v>
      </c>
      <c r="B126" s="13" t="s">
        <v>76</v>
      </c>
      <c r="C126" s="13" t="s">
        <v>198</v>
      </c>
      <c r="D126" s="13">
        <v>25.0</v>
      </c>
      <c r="E126" s="14">
        <v>0.0</v>
      </c>
      <c r="F126" s="15">
        <f t="shared" si="1"/>
        <v>24</v>
      </c>
      <c r="G126" s="15">
        <f t="shared" ref="G126:G132" si="23">D126/1.08</f>
        <v>23.14814815</v>
      </c>
      <c r="H126" s="15"/>
      <c r="I126" s="15"/>
      <c r="J126" s="15"/>
      <c r="K126" s="15"/>
      <c r="L126" s="15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3">
        <v>2126.0</v>
      </c>
      <c r="B127" s="13" t="s">
        <v>76</v>
      </c>
      <c r="C127" s="13" t="s">
        <v>198</v>
      </c>
      <c r="D127" s="13">
        <v>27.0</v>
      </c>
      <c r="E127" s="14">
        <v>0.0</v>
      </c>
      <c r="F127" s="15">
        <f t="shared" si="1"/>
        <v>25</v>
      </c>
      <c r="G127" s="15">
        <f t="shared" si="23"/>
        <v>25</v>
      </c>
      <c r="H127" s="15"/>
      <c r="I127" s="15"/>
      <c r="J127" s="15"/>
      <c r="K127" s="15"/>
      <c r="L127" s="15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3">
        <v>2127.0</v>
      </c>
      <c r="B128" s="13" t="s">
        <v>76</v>
      </c>
      <c r="C128" s="13" t="s">
        <v>199</v>
      </c>
      <c r="D128" s="13">
        <v>273.0</v>
      </c>
      <c r="E128" s="14">
        <v>0.0</v>
      </c>
      <c r="F128" s="15">
        <f t="shared" si="1"/>
        <v>253</v>
      </c>
      <c r="G128" s="15">
        <f t="shared" si="23"/>
        <v>252.7777778</v>
      </c>
      <c r="H128" s="15"/>
      <c r="I128" s="15"/>
      <c r="J128" s="15"/>
      <c r="K128" s="15"/>
      <c r="L128" s="15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3">
        <v>2128.0</v>
      </c>
      <c r="B129" s="13" t="s">
        <v>76</v>
      </c>
      <c r="C129" s="13" t="s">
        <v>200</v>
      </c>
      <c r="D129" s="13">
        <v>205.0</v>
      </c>
      <c r="E129" s="14">
        <v>0.0</v>
      </c>
      <c r="F129" s="15">
        <f t="shared" si="1"/>
        <v>190</v>
      </c>
      <c r="G129" s="15">
        <f t="shared" si="23"/>
        <v>189.8148148</v>
      </c>
      <c r="H129" s="15"/>
      <c r="I129" s="15"/>
      <c r="J129" s="15"/>
      <c r="K129" s="15"/>
      <c r="L129" s="15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3">
        <v>2129.0</v>
      </c>
      <c r="B130" s="13" t="s">
        <v>76</v>
      </c>
      <c r="C130" s="13" t="s">
        <v>201</v>
      </c>
      <c r="D130" s="13">
        <v>105.0</v>
      </c>
      <c r="E130" s="14">
        <v>0.0</v>
      </c>
      <c r="F130" s="15">
        <f t="shared" si="1"/>
        <v>98</v>
      </c>
      <c r="G130" s="15">
        <f t="shared" si="23"/>
        <v>97.22222222</v>
      </c>
      <c r="H130" s="15"/>
      <c r="I130" s="15"/>
      <c r="J130" s="15"/>
      <c r="K130" s="15"/>
      <c r="L130" s="15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3">
        <v>2130.0</v>
      </c>
      <c r="B131" s="13" t="s">
        <v>76</v>
      </c>
      <c r="C131" s="13" t="s">
        <v>202</v>
      </c>
      <c r="D131" s="13">
        <v>149.0</v>
      </c>
      <c r="E131" s="14">
        <v>0.0</v>
      </c>
      <c r="F131" s="15">
        <f t="shared" si="1"/>
        <v>138</v>
      </c>
      <c r="G131" s="15">
        <f t="shared" si="23"/>
        <v>137.962963</v>
      </c>
      <c r="H131" s="15"/>
      <c r="I131" s="15"/>
      <c r="J131" s="15"/>
      <c r="K131" s="15"/>
      <c r="L131" s="15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3">
        <v>2131.0</v>
      </c>
      <c r="B132" s="13" t="s">
        <v>76</v>
      </c>
      <c r="C132" s="13" t="s">
        <v>202</v>
      </c>
      <c r="D132" s="13">
        <v>149.0</v>
      </c>
      <c r="E132" s="14">
        <v>0.0</v>
      </c>
      <c r="F132" s="15">
        <f t="shared" si="1"/>
        <v>138</v>
      </c>
      <c r="G132" s="15">
        <f t="shared" si="23"/>
        <v>137.962963</v>
      </c>
      <c r="H132" s="15"/>
      <c r="I132" s="15"/>
      <c r="J132" s="15"/>
      <c r="K132" s="15"/>
      <c r="L132" s="15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3">
        <v>2132.0</v>
      </c>
      <c r="B133" s="13" t="s">
        <v>78</v>
      </c>
      <c r="C133" s="13" t="s">
        <v>203</v>
      </c>
      <c r="D133" s="13">
        <v>132.0</v>
      </c>
      <c r="E133" s="14">
        <v>0.0</v>
      </c>
      <c r="F133" s="15">
        <f t="shared" si="1"/>
        <v>120</v>
      </c>
      <c r="G133" s="15">
        <f t="shared" ref="G133:G137" si="24">D133/1.1</f>
        <v>120</v>
      </c>
      <c r="H133" s="15"/>
      <c r="I133" s="15"/>
      <c r="J133" s="15"/>
      <c r="K133" s="15"/>
      <c r="L133" s="15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3">
        <v>2133.0</v>
      </c>
      <c r="B134" s="13" t="s">
        <v>78</v>
      </c>
      <c r="C134" s="13" t="s">
        <v>204</v>
      </c>
      <c r="D134" s="13">
        <v>57.0</v>
      </c>
      <c r="E134" s="14">
        <v>0.0</v>
      </c>
      <c r="F134" s="15">
        <f t="shared" si="1"/>
        <v>52</v>
      </c>
      <c r="G134" s="15">
        <f t="shared" si="24"/>
        <v>51.81818182</v>
      </c>
      <c r="H134" s="15"/>
      <c r="I134" s="15"/>
      <c r="J134" s="15"/>
      <c r="K134" s="15"/>
      <c r="L134" s="1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3">
        <v>2134.0</v>
      </c>
      <c r="B135" s="13" t="s">
        <v>78</v>
      </c>
      <c r="C135" s="13" t="s">
        <v>205</v>
      </c>
      <c r="D135" s="13">
        <v>54.0</v>
      </c>
      <c r="E135" s="14">
        <v>0.0</v>
      </c>
      <c r="F135" s="15">
        <f t="shared" si="1"/>
        <v>50</v>
      </c>
      <c r="G135" s="15">
        <f t="shared" si="24"/>
        <v>49.09090909</v>
      </c>
      <c r="H135" s="15"/>
      <c r="I135" s="15"/>
      <c r="J135" s="15"/>
      <c r="K135" s="15"/>
      <c r="L135" s="15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3">
        <v>2135.0</v>
      </c>
      <c r="B136" s="13" t="s">
        <v>78</v>
      </c>
      <c r="C136" s="13" t="s">
        <v>206</v>
      </c>
      <c r="D136" s="13">
        <v>173.0</v>
      </c>
      <c r="E136" s="14">
        <v>0.0</v>
      </c>
      <c r="F136" s="15">
        <f t="shared" si="1"/>
        <v>158</v>
      </c>
      <c r="G136" s="15">
        <f t="shared" si="24"/>
        <v>157.2727273</v>
      </c>
      <c r="H136" s="15"/>
      <c r="I136" s="15"/>
      <c r="J136" s="15"/>
      <c r="K136" s="15"/>
      <c r="L136" s="15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3">
        <v>2136.0</v>
      </c>
      <c r="B137" s="13" t="s">
        <v>78</v>
      </c>
      <c r="C137" s="13" t="s">
        <v>207</v>
      </c>
      <c r="D137" s="13">
        <v>75.0</v>
      </c>
      <c r="E137" s="14">
        <v>0.0</v>
      </c>
      <c r="F137" s="15">
        <f t="shared" si="1"/>
        <v>69</v>
      </c>
      <c r="G137" s="15">
        <f t="shared" si="24"/>
        <v>68.18181818</v>
      </c>
      <c r="H137" s="15"/>
      <c r="I137" s="15"/>
      <c r="J137" s="15"/>
      <c r="K137" s="15"/>
      <c r="L137" s="15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3">
        <v>2137.0</v>
      </c>
      <c r="B138" s="13" t="s">
        <v>87</v>
      </c>
      <c r="C138" s="13" t="s">
        <v>208</v>
      </c>
      <c r="D138" s="13">
        <v>70.0</v>
      </c>
      <c r="E138" s="14">
        <v>0.0</v>
      </c>
      <c r="F138" s="15">
        <f t="shared" si="1"/>
        <v>65</v>
      </c>
      <c r="G138" s="15">
        <f t="shared" ref="G138:G141" si="25">D138/1.09</f>
        <v>64.22018349</v>
      </c>
      <c r="H138" s="15"/>
      <c r="I138" s="15"/>
      <c r="J138" s="15"/>
      <c r="K138" s="15"/>
      <c r="L138" s="15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3">
        <v>2138.0</v>
      </c>
      <c r="B139" s="13" t="s">
        <v>87</v>
      </c>
      <c r="C139" s="13" t="s">
        <v>209</v>
      </c>
      <c r="D139" s="13">
        <v>80.0</v>
      </c>
      <c r="E139" s="14">
        <v>0.0</v>
      </c>
      <c r="F139" s="15">
        <f t="shared" si="1"/>
        <v>74</v>
      </c>
      <c r="G139" s="15">
        <f t="shared" si="25"/>
        <v>73.39449541</v>
      </c>
      <c r="H139" s="15"/>
      <c r="I139" s="15"/>
      <c r="J139" s="15"/>
      <c r="K139" s="15"/>
      <c r="L139" s="15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3">
        <v>2139.0</v>
      </c>
      <c r="B140" s="13" t="s">
        <v>87</v>
      </c>
      <c r="C140" s="13" t="s">
        <v>208</v>
      </c>
      <c r="D140" s="13">
        <v>70.0</v>
      </c>
      <c r="E140" s="14">
        <v>0.0</v>
      </c>
      <c r="F140" s="15">
        <f t="shared" si="1"/>
        <v>65</v>
      </c>
      <c r="G140" s="15">
        <f t="shared" si="25"/>
        <v>64.22018349</v>
      </c>
      <c r="H140" s="15"/>
      <c r="I140" s="15"/>
      <c r="J140" s="15"/>
      <c r="K140" s="15"/>
      <c r="L140" s="15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3">
        <v>2140.0</v>
      </c>
      <c r="B141" s="13" t="s">
        <v>87</v>
      </c>
      <c r="C141" s="13" t="s">
        <v>210</v>
      </c>
      <c r="D141" s="13">
        <v>99.0</v>
      </c>
      <c r="E141" s="14">
        <v>0.0</v>
      </c>
      <c r="F141" s="15">
        <f t="shared" si="1"/>
        <v>91</v>
      </c>
      <c r="G141" s="15">
        <f t="shared" si="25"/>
        <v>90.82568807</v>
      </c>
      <c r="H141" s="15"/>
      <c r="I141" s="15"/>
      <c r="J141" s="15"/>
      <c r="K141" s="15"/>
      <c r="L141" s="15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3">
        <v>2141.0</v>
      </c>
      <c r="B142" s="13" t="s">
        <v>78</v>
      </c>
      <c r="C142" s="13" t="s">
        <v>211</v>
      </c>
      <c r="D142" s="13">
        <v>220.0</v>
      </c>
      <c r="E142" s="14">
        <v>0.0</v>
      </c>
      <c r="F142" s="15">
        <f t="shared" si="1"/>
        <v>200</v>
      </c>
      <c r="G142" s="15">
        <f t="shared" ref="G142:G155" si="26">D142/1.1</f>
        <v>200</v>
      </c>
      <c r="H142" s="15"/>
      <c r="I142" s="15"/>
      <c r="J142" s="15"/>
      <c r="K142" s="15"/>
      <c r="L142" s="15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3">
        <v>2142.0</v>
      </c>
      <c r="B143" s="13" t="s">
        <v>78</v>
      </c>
      <c r="C143" s="13" t="s">
        <v>212</v>
      </c>
      <c r="D143" s="13">
        <v>90.0</v>
      </c>
      <c r="E143" s="14">
        <v>0.0</v>
      </c>
      <c r="F143" s="15">
        <f t="shared" si="1"/>
        <v>82</v>
      </c>
      <c r="G143" s="15">
        <f t="shared" si="26"/>
        <v>81.81818182</v>
      </c>
      <c r="H143" s="15"/>
      <c r="I143" s="15"/>
      <c r="J143" s="15"/>
      <c r="K143" s="15"/>
      <c r="L143" s="15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3">
        <v>2143.0</v>
      </c>
      <c r="B144" s="13" t="s">
        <v>78</v>
      </c>
      <c r="C144" s="13" t="s">
        <v>213</v>
      </c>
      <c r="D144" s="13">
        <v>131.0</v>
      </c>
      <c r="E144" s="14">
        <v>0.0</v>
      </c>
      <c r="F144" s="15">
        <f t="shared" si="1"/>
        <v>120</v>
      </c>
      <c r="G144" s="15">
        <f t="shared" si="26"/>
        <v>119.0909091</v>
      </c>
      <c r="H144" s="15"/>
      <c r="I144" s="15"/>
      <c r="J144" s="15"/>
      <c r="K144" s="15"/>
      <c r="L144" s="15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3">
        <v>2144.0</v>
      </c>
      <c r="B145" s="13" t="s">
        <v>78</v>
      </c>
      <c r="C145" s="13" t="s">
        <v>214</v>
      </c>
      <c r="D145" s="13">
        <v>131.0</v>
      </c>
      <c r="E145" s="14">
        <v>0.0</v>
      </c>
      <c r="F145" s="15">
        <f t="shared" si="1"/>
        <v>120</v>
      </c>
      <c r="G145" s="15">
        <f t="shared" si="26"/>
        <v>119.0909091</v>
      </c>
      <c r="H145" s="15"/>
      <c r="I145" s="15"/>
      <c r="J145" s="15"/>
      <c r="K145" s="15"/>
      <c r="L145" s="15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3">
        <v>2145.0</v>
      </c>
      <c r="B146" s="13" t="s">
        <v>78</v>
      </c>
      <c r="C146" s="13" t="s">
        <v>215</v>
      </c>
      <c r="D146" s="13">
        <v>99.0</v>
      </c>
      <c r="E146" s="14">
        <v>0.0</v>
      </c>
      <c r="F146" s="15">
        <f t="shared" si="1"/>
        <v>90</v>
      </c>
      <c r="G146" s="15">
        <f t="shared" si="26"/>
        <v>90</v>
      </c>
      <c r="H146" s="15"/>
      <c r="I146" s="15"/>
      <c r="J146" s="15"/>
      <c r="K146" s="15"/>
      <c r="L146" s="15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3">
        <v>2146.0</v>
      </c>
      <c r="B147" s="13" t="s">
        <v>78</v>
      </c>
      <c r="C147" s="13" t="s">
        <v>216</v>
      </c>
      <c r="D147" s="13">
        <v>65.0</v>
      </c>
      <c r="E147" s="14">
        <v>0.0</v>
      </c>
      <c r="F147" s="15">
        <f t="shared" si="1"/>
        <v>60</v>
      </c>
      <c r="G147" s="15">
        <f t="shared" si="26"/>
        <v>59.09090909</v>
      </c>
      <c r="H147" s="15"/>
      <c r="I147" s="15"/>
      <c r="J147" s="15"/>
      <c r="K147" s="15"/>
      <c r="L147" s="15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3">
        <v>2147.0</v>
      </c>
      <c r="B148" s="13" t="s">
        <v>78</v>
      </c>
      <c r="C148" s="13" t="s">
        <v>217</v>
      </c>
      <c r="D148" s="13">
        <v>175.0</v>
      </c>
      <c r="E148" s="14">
        <v>0.0</v>
      </c>
      <c r="F148" s="15">
        <f t="shared" si="1"/>
        <v>160</v>
      </c>
      <c r="G148" s="15">
        <f t="shared" si="26"/>
        <v>159.0909091</v>
      </c>
      <c r="H148" s="15"/>
      <c r="I148" s="15"/>
      <c r="J148" s="15"/>
      <c r="K148" s="15"/>
      <c r="L148" s="15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3">
        <v>2148.0</v>
      </c>
      <c r="B149" s="13" t="s">
        <v>78</v>
      </c>
      <c r="C149" s="13" t="s">
        <v>218</v>
      </c>
      <c r="D149" s="13">
        <v>172.0</v>
      </c>
      <c r="E149" s="14">
        <v>0.0</v>
      </c>
      <c r="F149" s="15">
        <f t="shared" si="1"/>
        <v>157</v>
      </c>
      <c r="G149" s="15">
        <f t="shared" si="26"/>
        <v>156.3636364</v>
      </c>
      <c r="H149" s="15"/>
      <c r="I149" s="15"/>
      <c r="J149" s="15"/>
      <c r="K149" s="15"/>
      <c r="L149" s="15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3">
        <v>2149.0</v>
      </c>
      <c r="B150" s="13" t="s">
        <v>78</v>
      </c>
      <c r="C150" s="13" t="s">
        <v>219</v>
      </c>
      <c r="D150" s="13">
        <v>189.0</v>
      </c>
      <c r="E150" s="14">
        <v>0.0</v>
      </c>
      <c r="F150" s="15">
        <f t="shared" si="1"/>
        <v>172</v>
      </c>
      <c r="G150" s="15">
        <f t="shared" si="26"/>
        <v>171.8181818</v>
      </c>
      <c r="H150" s="15"/>
      <c r="I150" s="15"/>
      <c r="J150" s="15"/>
      <c r="K150" s="15"/>
      <c r="L150" s="15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3">
        <v>2150.0</v>
      </c>
      <c r="B151" s="13" t="s">
        <v>78</v>
      </c>
      <c r="C151" s="13" t="s">
        <v>220</v>
      </c>
      <c r="D151" s="13">
        <v>172.0</v>
      </c>
      <c r="E151" s="14">
        <v>0.0</v>
      </c>
      <c r="F151" s="15">
        <f t="shared" si="1"/>
        <v>157</v>
      </c>
      <c r="G151" s="15">
        <f t="shared" si="26"/>
        <v>156.3636364</v>
      </c>
      <c r="H151" s="15"/>
      <c r="I151" s="15"/>
      <c r="J151" s="15"/>
      <c r="K151" s="15"/>
      <c r="L151" s="15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3">
        <v>2151.0</v>
      </c>
      <c r="B152" s="13" t="s">
        <v>78</v>
      </c>
      <c r="C152" s="13" t="s">
        <v>221</v>
      </c>
      <c r="D152" s="13">
        <v>172.0</v>
      </c>
      <c r="E152" s="14">
        <v>0.0</v>
      </c>
      <c r="F152" s="15">
        <f t="shared" si="1"/>
        <v>157</v>
      </c>
      <c r="G152" s="15">
        <f t="shared" si="26"/>
        <v>156.3636364</v>
      </c>
      <c r="H152" s="15"/>
      <c r="I152" s="15"/>
      <c r="J152" s="15"/>
      <c r="K152" s="15"/>
      <c r="L152" s="15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3">
        <v>2152.0</v>
      </c>
      <c r="B153" s="13" t="s">
        <v>78</v>
      </c>
      <c r="C153" s="13" t="s">
        <v>222</v>
      </c>
      <c r="D153" s="13">
        <v>65.0</v>
      </c>
      <c r="E153" s="14">
        <v>0.0</v>
      </c>
      <c r="F153" s="15">
        <f t="shared" si="1"/>
        <v>60</v>
      </c>
      <c r="G153" s="15">
        <f t="shared" si="26"/>
        <v>59.09090909</v>
      </c>
      <c r="H153" s="15"/>
      <c r="I153" s="15"/>
      <c r="J153" s="15"/>
      <c r="K153" s="15"/>
      <c r="L153" s="15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3">
        <v>2153.0</v>
      </c>
      <c r="B154" s="13" t="s">
        <v>78</v>
      </c>
      <c r="C154" s="13" t="s">
        <v>223</v>
      </c>
      <c r="D154" s="13">
        <v>75.0</v>
      </c>
      <c r="E154" s="14">
        <v>0.0</v>
      </c>
      <c r="F154" s="15">
        <f t="shared" si="1"/>
        <v>69</v>
      </c>
      <c r="G154" s="15">
        <f t="shared" si="26"/>
        <v>68.18181818</v>
      </c>
      <c r="H154" s="15"/>
      <c r="I154" s="15"/>
      <c r="J154" s="15"/>
      <c r="K154" s="15"/>
      <c r="L154" s="15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3">
        <v>2154.0</v>
      </c>
      <c r="B155" s="13" t="s">
        <v>78</v>
      </c>
      <c r="C155" s="13" t="s">
        <v>224</v>
      </c>
      <c r="D155" s="13">
        <v>190.0</v>
      </c>
      <c r="E155" s="14">
        <v>0.0</v>
      </c>
      <c r="F155" s="15">
        <f t="shared" si="1"/>
        <v>173</v>
      </c>
      <c r="G155" s="15">
        <f t="shared" si="26"/>
        <v>172.7272727</v>
      </c>
      <c r="H155" s="15"/>
      <c r="I155" s="15"/>
      <c r="J155" s="15"/>
      <c r="K155" s="15"/>
      <c r="L155" s="15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3">
        <v>2155.0</v>
      </c>
      <c r="B156" s="13" t="s">
        <v>87</v>
      </c>
      <c r="C156" s="13" t="s">
        <v>225</v>
      </c>
      <c r="D156" s="13">
        <v>75.0</v>
      </c>
      <c r="E156" s="14">
        <v>0.0</v>
      </c>
      <c r="F156" s="15">
        <f t="shared" si="1"/>
        <v>69</v>
      </c>
      <c r="G156" s="15">
        <f t="shared" ref="G156:G162" si="27">D156/1.09</f>
        <v>68.80733945</v>
      </c>
      <c r="H156" s="15"/>
      <c r="I156" s="15"/>
      <c r="J156" s="15"/>
      <c r="K156" s="15"/>
      <c r="L156" s="15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3">
        <v>2156.0</v>
      </c>
      <c r="B157" s="13" t="s">
        <v>87</v>
      </c>
      <c r="C157" s="13" t="s">
        <v>226</v>
      </c>
      <c r="D157" s="13">
        <v>50.0</v>
      </c>
      <c r="E157" s="14">
        <v>0.0</v>
      </c>
      <c r="F157" s="15">
        <f t="shared" si="1"/>
        <v>46</v>
      </c>
      <c r="G157" s="15">
        <f t="shared" si="27"/>
        <v>45.87155963</v>
      </c>
      <c r="H157" s="15"/>
      <c r="I157" s="15"/>
      <c r="J157" s="15"/>
      <c r="K157" s="15"/>
      <c r="L157" s="15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3">
        <v>2157.0</v>
      </c>
      <c r="B158" s="13" t="s">
        <v>87</v>
      </c>
      <c r="C158" s="13" t="s">
        <v>227</v>
      </c>
      <c r="D158" s="13">
        <v>60.0</v>
      </c>
      <c r="E158" s="14">
        <v>0.0</v>
      </c>
      <c r="F158" s="15">
        <f t="shared" si="1"/>
        <v>56</v>
      </c>
      <c r="G158" s="15">
        <f t="shared" si="27"/>
        <v>55.04587156</v>
      </c>
      <c r="H158" s="15"/>
      <c r="I158" s="15"/>
      <c r="J158" s="15"/>
      <c r="K158" s="15"/>
      <c r="L158" s="15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3">
        <v>2158.0</v>
      </c>
      <c r="B159" s="13" t="s">
        <v>87</v>
      </c>
      <c r="C159" s="13" t="s">
        <v>228</v>
      </c>
      <c r="D159" s="13">
        <v>25.0</v>
      </c>
      <c r="E159" s="14">
        <v>0.0</v>
      </c>
      <c r="F159" s="15">
        <f t="shared" si="1"/>
        <v>23</v>
      </c>
      <c r="G159" s="15">
        <f t="shared" si="27"/>
        <v>22.93577982</v>
      </c>
      <c r="H159" s="15"/>
      <c r="I159" s="15"/>
      <c r="J159" s="15"/>
      <c r="K159" s="15"/>
      <c r="L159" s="15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3">
        <v>2159.0</v>
      </c>
      <c r="B160" s="13" t="s">
        <v>87</v>
      </c>
      <c r="C160" s="13" t="s">
        <v>229</v>
      </c>
      <c r="D160" s="13">
        <v>60.0</v>
      </c>
      <c r="E160" s="14">
        <v>0.0</v>
      </c>
      <c r="F160" s="15">
        <f t="shared" si="1"/>
        <v>56</v>
      </c>
      <c r="G160" s="15">
        <f t="shared" si="27"/>
        <v>55.04587156</v>
      </c>
      <c r="H160" s="15"/>
      <c r="I160" s="15"/>
      <c r="J160" s="15"/>
      <c r="K160" s="15"/>
      <c r="L160" s="15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3">
        <v>2160.0</v>
      </c>
      <c r="B161" s="13" t="s">
        <v>87</v>
      </c>
      <c r="C161" s="13" t="s">
        <v>227</v>
      </c>
      <c r="D161" s="13">
        <v>75.0</v>
      </c>
      <c r="E161" s="14">
        <v>0.0</v>
      </c>
      <c r="F161" s="15">
        <f t="shared" si="1"/>
        <v>69</v>
      </c>
      <c r="G161" s="15">
        <f t="shared" si="27"/>
        <v>68.80733945</v>
      </c>
      <c r="H161" s="15"/>
      <c r="I161" s="15"/>
      <c r="J161" s="15"/>
      <c r="K161" s="15"/>
      <c r="L161" s="15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3">
        <v>2161.0</v>
      </c>
      <c r="B162" s="13" t="s">
        <v>87</v>
      </c>
      <c r="C162" s="13" t="s">
        <v>230</v>
      </c>
      <c r="D162" s="13">
        <v>30.0</v>
      </c>
      <c r="E162" s="14">
        <v>0.0</v>
      </c>
      <c r="F162" s="15">
        <f t="shared" si="1"/>
        <v>28</v>
      </c>
      <c r="G162" s="15">
        <f t="shared" si="27"/>
        <v>27.52293578</v>
      </c>
      <c r="H162" s="15"/>
      <c r="I162" s="15"/>
      <c r="J162" s="15"/>
      <c r="K162" s="15"/>
      <c r="L162" s="15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3">
        <v>2162.0</v>
      </c>
      <c r="B163" s="13" t="s">
        <v>78</v>
      </c>
      <c r="C163" s="13" t="s">
        <v>231</v>
      </c>
      <c r="D163" s="13">
        <v>49.0</v>
      </c>
      <c r="E163" s="14">
        <v>0.0</v>
      </c>
      <c r="F163" s="15">
        <f t="shared" si="1"/>
        <v>45</v>
      </c>
      <c r="G163" s="15">
        <f t="shared" ref="G163:G167" si="28">D163/1.1</f>
        <v>44.54545455</v>
      </c>
      <c r="H163" s="15"/>
      <c r="I163" s="15"/>
      <c r="J163" s="15"/>
      <c r="K163" s="15"/>
      <c r="L163" s="15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3">
        <v>2163.0</v>
      </c>
      <c r="B164" s="13" t="s">
        <v>78</v>
      </c>
      <c r="C164" s="13" t="s">
        <v>232</v>
      </c>
      <c r="D164" s="13">
        <v>90.0</v>
      </c>
      <c r="E164" s="14">
        <v>0.0</v>
      </c>
      <c r="F164" s="15">
        <f t="shared" si="1"/>
        <v>82</v>
      </c>
      <c r="G164" s="15">
        <f t="shared" si="28"/>
        <v>81.81818182</v>
      </c>
      <c r="H164" s="15"/>
      <c r="I164" s="15"/>
      <c r="J164" s="15"/>
      <c r="K164" s="15"/>
      <c r="L164" s="15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3">
        <v>2164.0</v>
      </c>
      <c r="B165" s="13" t="s">
        <v>78</v>
      </c>
      <c r="C165" s="13" t="s">
        <v>233</v>
      </c>
      <c r="D165" s="13">
        <v>435.0</v>
      </c>
      <c r="E165" s="14">
        <v>0.0</v>
      </c>
      <c r="F165" s="15">
        <f t="shared" si="1"/>
        <v>396</v>
      </c>
      <c r="G165" s="15">
        <f t="shared" si="28"/>
        <v>395.4545455</v>
      </c>
      <c r="H165" s="15"/>
      <c r="I165" s="15"/>
      <c r="J165" s="15"/>
      <c r="K165" s="15"/>
      <c r="L165" s="15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3">
        <v>2165.0</v>
      </c>
      <c r="B166" s="13" t="s">
        <v>78</v>
      </c>
      <c r="C166" s="13" t="s">
        <v>234</v>
      </c>
      <c r="D166" s="13">
        <v>105.0</v>
      </c>
      <c r="E166" s="14">
        <v>0.0</v>
      </c>
      <c r="F166" s="15">
        <f t="shared" si="1"/>
        <v>96</v>
      </c>
      <c r="G166" s="15">
        <f t="shared" si="28"/>
        <v>95.45454545</v>
      </c>
      <c r="H166" s="15"/>
      <c r="I166" s="15"/>
      <c r="J166" s="15"/>
      <c r="K166" s="15"/>
      <c r="L166" s="15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3">
        <v>2166.0</v>
      </c>
      <c r="B167" s="13" t="s">
        <v>78</v>
      </c>
      <c r="C167" s="13" t="s">
        <v>235</v>
      </c>
      <c r="D167" s="13">
        <v>55.0</v>
      </c>
      <c r="E167" s="14">
        <v>0.0</v>
      </c>
      <c r="F167" s="15">
        <f t="shared" si="1"/>
        <v>50</v>
      </c>
      <c r="G167" s="15">
        <f t="shared" si="28"/>
        <v>50</v>
      </c>
      <c r="H167" s="15"/>
      <c r="I167" s="15"/>
      <c r="J167" s="15"/>
      <c r="K167" s="15"/>
      <c r="L167" s="15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3">
        <v>2167.0</v>
      </c>
      <c r="B168" s="13" t="s">
        <v>76</v>
      </c>
      <c r="C168" s="13" t="s">
        <v>236</v>
      </c>
      <c r="D168" s="13">
        <v>30.0</v>
      </c>
      <c r="E168" s="14">
        <v>0.0</v>
      </c>
      <c r="F168" s="15">
        <f t="shared" si="1"/>
        <v>28</v>
      </c>
      <c r="G168" s="15">
        <f>D168/1.08</f>
        <v>27.77777778</v>
      </c>
      <c r="H168" s="15"/>
      <c r="I168" s="15"/>
      <c r="J168" s="15"/>
      <c r="K168" s="15"/>
      <c r="L168" s="15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3">
        <v>2168.0</v>
      </c>
      <c r="B169" s="13" t="s">
        <v>76</v>
      </c>
      <c r="C169" s="13" t="s">
        <v>237</v>
      </c>
      <c r="D169" s="13">
        <v>65.0</v>
      </c>
      <c r="E169" s="14">
        <v>0.0</v>
      </c>
      <c r="F169" s="15">
        <f t="shared" si="1"/>
        <v>58</v>
      </c>
      <c r="G169" s="15">
        <f>D169/1.125</f>
        <v>57.77777778</v>
      </c>
      <c r="H169" s="15"/>
      <c r="I169" s="15"/>
      <c r="J169" s="15"/>
      <c r="K169" s="15"/>
      <c r="L169" s="15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3">
        <v>2169.0</v>
      </c>
      <c r="B170" s="13" t="s">
        <v>76</v>
      </c>
      <c r="C170" s="13" t="s">
        <v>238</v>
      </c>
      <c r="D170" s="13">
        <v>415.0</v>
      </c>
      <c r="E170" s="14">
        <v>0.0</v>
      </c>
      <c r="F170" s="15">
        <f t="shared" si="1"/>
        <v>381</v>
      </c>
      <c r="G170" s="15">
        <f t="shared" ref="G170:G173" si="29">D170/1.09</f>
        <v>380.733945</v>
      </c>
      <c r="H170" s="15"/>
      <c r="I170" s="15"/>
      <c r="J170" s="15"/>
      <c r="K170" s="15"/>
      <c r="L170" s="15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3">
        <v>2170.0</v>
      </c>
      <c r="B171" s="13" t="s">
        <v>76</v>
      </c>
      <c r="C171" s="13" t="s">
        <v>239</v>
      </c>
      <c r="D171" s="13">
        <v>109.0</v>
      </c>
      <c r="E171" s="14">
        <v>0.0</v>
      </c>
      <c r="F171" s="15">
        <f t="shared" si="1"/>
        <v>100</v>
      </c>
      <c r="G171" s="15">
        <f t="shared" si="29"/>
        <v>100</v>
      </c>
      <c r="H171" s="15"/>
      <c r="I171" s="15"/>
      <c r="J171" s="15"/>
      <c r="K171" s="15"/>
      <c r="L171" s="15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3">
        <v>2171.0</v>
      </c>
      <c r="B172" s="13" t="s">
        <v>76</v>
      </c>
      <c r="C172" s="13" t="s">
        <v>240</v>
      </c>
      <c r="D172" s="13">
        <v>99.0</v>
      </c>
      <c r="E172" s="14">
        <v>0.0</v>
      </c>
      <c r="F172" s="15">
        <f t="shared" si="1"/>
        <v>91</v>
      </c>
      <c r="G172" s="15">
        <f t="shared" si="29"/>
        <v>90.82568807</v>
      </c>
      <c r="H172" s="15"/>
      <c r="I172" s="15"/>
      <c r="J172" s="15"/>
      <c r="K172" s="15"/>
      <c r="L172" s="15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3">
        <v>2172.0</v>
      </c>
      <c r="B173" s="13" t="s">
        <v>76</v>
      </c>
      <c r="C173" s="13" t="s">
        <v>241</v>
      </c>
      <c r="D173" s="13">
        <v>205.0</v>
      </c>
      <c r="E173" s="14">
        <v>0.0</v>
      </c>
      <c r="F173" s="15">
        <f t="shared" si="1"/>
        <v>189</v>
      </c>
      <c r="G173" s="15">
        <f t="shared" si="29"/>
        <v>188.0733945</v>
      </c>
      <c r="H173" s="15"/>
      <c r="I173" s="15"/>
      <c r="J173" s="15"/>
      <c r="K173" s="15"/>
      <c r="L173" s="15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3">
        <v>2173.0</v>
      </c>
      <c r="B174" s="13" t="s">
        <v>76</v>
      </c>
      <c r="C174" s="13" t="s">
        <v>242</v>
      </c>
      <c r="D174" s="13">
        <v>60.0</v>
      </c>
      <c r="E174" s="14">
        <v>0.0</v>
      </c>
      <c r="F174" s="15">
        <f t="shared" si="1"/>
        <v>56</v>
      </c>
      <c r="G174" s="15">
        <f>D174/1.08</f>
        <v>55.55555556</v>
      </c>
      <c r="H174" s="15"/>
      <c r="I174" s="15"/>
      <c r="J174" s="15"/>
      <c r="K174" s="15"/>
      <c r="L174" s="15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3">
        <v>2174.0</v>
      </c>
      <c r="B175" s="13" t="s">
        <v>76</v>
      </c>
      <c r="C175" s="13" t="s">
        <v>243</v>
      </c>
      <c r="D175" s="13">
        <v>445.0</v>
      </c>
      <c r="E175" s="14">
        <v>0.0</v>
      </c>
      <c r="F175" s="15">
        <f t="shared" si="1"/>
        <v>409</v>
      </c>
      <c r="G175" s="15">
        <f>D175/1.09</f>
        <v>408.2568807</v>
      </c>
      <c r="H175" s="15"/>
      <c r="I175" s="15"/>
      <c r="J175" s="15"/>
      <c r="K175" s="15"/>
      <c r="L175" s="15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3">
        <v>2175.0</v>
      </c>
      <c r="B176" s="13" t="s">
        <v>76</v>
      </c>
      <c r="C176" s="13" t="s">
        <v>244</v>
      </c>
      <c r="D176" s="13">
        <v>55.0</v>
      </c>
      <c r="E176" s="14">
        <v>0.0</v>
      </c>
      <c r="F176" s="15">
        <f t="shared" si="1"/>
        <v>49</v>
      </c>
      <c r="G176" s="15">
        <f>D176/1.125</f>
        <v>48.88888889</v>
      </c>
      <c r="H176" s="15"/>
      <c r="I176" s="15"/>
      <c r="J176" s="15"/>
      <c r="K176" s="15"/>
      <c r="L176" s="15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3">
        <v>2176.0</v>
      </c>
      <c r="B177" s="13" t="s">
        <v>76</v>
      </c>
      <c r="C177" s="13" t="s">
        <v>245</v>
      </c>
      <c r="D177" s="13">
        <v>130.0</v>
      </c>
      <c r="E177" s="14">
        <v>0.0</v>
      </c>
      <c r="F177" s="15">
        <f t="shared" si="1"/>
        <v>121</v>
      </c>
      <c r="G177" s="15">
        <f t="shared" ref="G177:G178" si="30">D177/1.08</f>
        <v>120.3703704</v>
      </c>
      <c r="H177" s="15"/>
      <c r="I177" s="15"/>
      <c r="J177" s="15"/>
      <c r="K177" s="15"/>
      <c r="L177" s="15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3">
        <v>2177.0</v>
      </c>
      <c r="B178" s="13" t="s">
        <v>76</v>
      </c>
      <c r="C178" s="13" t="s">
        <v>246</v>
      </c>
      <c r="D178" s="13">
        <v>130.0</v>
      </c>
      <c r="E178" s="14">
        <v>0.0</v>
      </c>
      <c r="F178" s="15">
        <f t="shared" si="1"/>
        <v>121</v>
      </c>
      <c r="G178" s="15">
        <f t="shared" si="30"/>
        <v>120.3703704</v>
      </c>
      <c r="H178" s="15"/>
      <c r="I178" s="15"/>
      <c r="J178" s="15"/>
      <c r="K178" s="15"/>
      <c r="L178" s="15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3">
        <v>2178.0</v>
      </c>
      <c r="B179" s="13" t="s">
        <v>78</v>
      </c>
      <c r="C179" s="13" t="s">
        <v>247</v>
      </c>
      <c r="D179" s="13">
        <v>49.0</v>
      </c>
      <c r="E179" s="14">
        <v>0.0</v>
      </c>
      <c r="F179" s="15">
        <f t="shared" si="1"/>
        <v>45</v>
      </c>
      <c r="G179" s="15">
        <f t="shared" ref="G179:G180" si="31">D179/1.1</f>
        <v>44.54545455</v>
      </c>
      <c r="H179" s="15"/>
      <c r="I179" s="15"/>
      <c r="J179" s="15"/>
      <c r="K179" s="15"/>
      <c r="L179" s="15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3">
        <v>2179.0</v>
      </c>
      <c r="B180" s="13" t="s">
        <v>78</v>
      </c>
      <c r="C180" s="13" t="s">
        <v>248</v>
      </c>
      <c r="D180" s="13">
        <v>65.0</v>
      </c>
      <c r="E180" s="14">
        <v>0.0</v>
      </c>
      <c r="F180" s="15">
        <f t="shared" si="1"/>
        <v>60</v>
      </c>
      <c r="G180" s="15">
        <f t="shared" si="31"/>
        <v>59.09090909</v>
      </c>
      <c r="H180" s="15"/>
      <c r="I180" s="15"/>
      <c r="J180" s="15"/>
      <c r="K180" s="15"/>
      <c r="L180" s="15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3">
        <v>2180.0</v>
      </c>
      <c r="B181" s="13" t="s">
        <v>76</v>
      </c>
      <c r="C181" s="13" t="s">
        <v>249</v>
      </c>
      <c r="D181" s="13">
        <v>50.0</v>
      </c>
      <c r="E181" s="14">
        <v>0.0</v>
      </c>
      <c r="F181" s="15">
        <f t="shared" si="1"/>
        <v>42</v>
      </c>
      <c r="G181" s="15">
        <f>D181/1.2</f>
        <v>41.66666667</v>
      </c>
      <c r="H181" s="15"/>
      <c r="I181" s="15"/>
      <c r="J181" s="15"/>
      <c r="K181" s="15"/>
      <c r="L181" s="15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3">
        <v>2181.0</v>
      </c>
      <c r="B182" s="13" t="s">
        <v>144</v>
      </c>
      <c r="C182" s="13" t="s">
        <v>250</v>
      </c>
      <c r="D182" s="13">
        <v>330.0</v>
      </c>
      <c r="E182" s="14">
        <v>0.0</v>
      </c>
      <c r="F182" s="15">
        <f t="shared" si="1"/>
        <v>306</v>
      </c>
      <c r="G182" s="15">
        <f t="shared" ref="G182:G208" si="32">D182/1.08</f>
        <v>305.5555556</v>
      </c>
      <c r="H182" s="16">
        <v>0.0</v>
      </c>
      <c r="I182" s="17">
        <f t="shared" ref="I182:I207" si="33">G182*H182</f>
        <v>0</v>
      </c>
      <c r="J182" s="18">
        <v>0.035</v>
      </c>
      <c r="K182" s="15">
        <f t="shared" ref="K182:K207" si="34">(G182-I182)*J182</f>
        <v>10.69444444</v>
      </c>
      <c r="L182" s="19">
        <f t="shared" ref="L182:L213" si="35">G182-I182-K182</f>
        <v>294.8611111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3">
        <v>2182.0</v>
      </c>
      <c r="B183" s="13" t="s">
        <v>144</v>
      </c>
      <c r="C183" s="13" t="s">
        <v>145</v>
      </c>
      <c r="D183" s="13">
        <v>325.0</v>
      </c>
      <c r="E183" s="14">
        <v>0.0</v>
      </c>
      <c r="F183" s="15">
        <f t="shared" si="1"/>
        <v>301</v>
      </c>
      <c r="G183" s="15">
        <f t="shared" si="32"/>
        <v>300.9259259</v>
      </c>
      <c r="H183" s="16">
        <v>0.02</v>
      </c>
      <c r="I183" s="17">
        <f t="shared" si="33"/>
        <v>6.018518519</v>
      </c>
      <c r="J183" s="18">
        <v>0.035</v>
      </c>
      <c r="K183" s="15">
        <f t="shared" si="34"/>
        <v>10.32175926</v>
      </c>
      <c r="L183" s="19">
        <f t="shared" si="35"/>
        <v>284.5856481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3">
        <v>2183.0</v>
      </c>
      <c r="B184" s="13" t="s">
        <v>144</v>
      </c>
      <c r="C184" s="13" t="s">
        <v>251</v>
      </c>
      <c r="D184" s="13">
        <v>325.0</v>
      </c>
      <c r="E184" s="14">
        <v>0.0</v>
      </c>
      <c r="F184" s="15">
        <f t="shared" si="1"/>
        <v>301</v>
      </c>
      <c r="G184" s="15">
        <f t="shared" si="32"/>
        <v>300.9259259</v>
      </c>
      <c r="H184" s="16">
        <v>0.02</v>
      </c>
      <c r="I184" s="17">
        <f t="shared" si="33"/>
        <v>6.018518519</v>
      </c>
      <c r="J184" s="18">
        <v>0.035</v>
      </c>
      <c r="K184" s="15">
        <f t="shared" si="34"/>
        <v>10.32175926</v>
      </c>
      <c r="L184" s="19">
        <f t="shared" si="35"/>
        <v>284.5856481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3">
        <v>2184.0</v>
      </c>
      <c r="B185" s="13" t="s">
        <v>144</v>
      </c>
      <c r="C185" s="13" t="s">
        <v>252</v>
      </c>
      <c r="D185" s="13">
        <v>320.0</v>
      </c>
      <c r="E185" s="14">
        <v>0.0</v>
      </c>
      <c r="F185" s="15">
        <f t="shared" si="1"/>
        <v>297</v>
      </c>
      <c r="G185" s="15">
        <f t="shared" si="32"/>
        <v>296.2962963</v>
      </c>
      <c r="H185" s="16">
        <v>0.03</v>
      </c>
      <c r="I185" s="17">
        <f t="shared" si="33"/>
        <v>8.888888889</v>
      </c>
      <c r="J185" s="18">
        <v>0.035</v>
      </c>
      <c r="K185" s="15">
        <f t="shared" si="34"/>
        <v>10.05925926</v>
      </c>
      <c r="L185" s="19">
        <f t="shared" si="35"/>
        <v>277.3481481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3">
        <v>2185.0</v>
      </c>
      <c r="B186" s="13" t="s">
        <v>144</v>
      </c>
      <c r="C186" s="13" t="s">
        <v>253</v>
      </c>
      <c r="D186" s="13">
        <v>330.0</v>
      </c>
      <c r="E186" s="14">
        <v>0.0</v>
      </c>
      <c r="F186" s="15">
        <f t="shared" si="1"/>
        <v>306</v>
      </c>
      <c r="G186" s="15">
        <f t="shared" si="32"/>
        <v>305.5555556</v>
      </c>
      <c r="H186" s="16">
        <v>0.03</v>
      </c>
      <c r="I186" s="17">
        <f t="shared" si="33"/>
        <v>9.166666667</v>
      </c>
      <c r="J186" s="18">
        <v>0.035</v>
      </c>
      <c r="K186" s="15">
        <f t="shared" si="34"/>
        <v>10.37361111</v>
      </c>
      <c r="L186" s="19">
        <f t="shared" si="35"/>
        <v>286.0152778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3">
        <v>2186.0</v>
      </c>
      <c r="B187" s="13" t="s">
        <v>144</v>
      </c>
      <c r="C187" s="13" t="s">
        <v>254</v>
      </c>
      <c r="D187" s="13">
        <v>299.0</v>
      </c>
      <c r="E187" s="14">
        <v>0.0</v>
      </c>
      <c r="F187" s="15">
        <f t="shared" si="1"/>
        <v>277</v>
      </c>
      <c r="G187" s="15">
        <f t="shared" si="32"/>
        <v>276.8518519</v>
      </c>
      <c r="H187" s="16">
        <v>0.02</v>
      </c>
      <c r="I187" s="17">
        <f t="shared" si="33"/>
        <v>5.537037037</v>
      </c>
      <c r="J187" s="18">
        <v>0.035</v>
      </c>
      <c r="K187" s="15">
        <f t="shared" si="34"/>
        <v>9.496018519</v>
      </c>
      <c r="L187" s="19">
        <f t="shared" si="35"/>
        <v>261.8187963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3">
        <v>2187.0</v>
      </c>
      <c r="B188" s="13" t="s">
        <v>144</v>
      </c>
      <c r="C188" s="13" t="s">
        <v>252</v>
      </c>
      <c r="D188" s="13">
        <v>320.0</v>
      </c>
      <c r="E188" s="14">
        <v>0.0</v>
      </c>
      <c r="F188" s="15">
        <f t="shared" si="1"/>
        <v>297</v>
      </c>
      <c r="G188" s="15">
        <f t="shared" si="32"/>
        <v>296.2962963</v>
      </c>
      <c r="H188" s="16">
        <v>0.03</v>
      </c>
      <c r="I188" s="17">
        <f t="shared" si="33"/>
        <v>8.888888889</v>
      </c>
      <c r="J188" s="18">
        <v>0.035</v>
      </c>
      <c r="K188" s="15">
        <f t="shared" si="34"/>
        <v>10.05925926</v>
      </c>
      <c r="L188" s="19">
        <f t="shared" si="35"/>
        <v>277.3481481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3">
        <v>2188.0</v>
      </c>
      <c r="B189" s="13" t="s">
        <v>144</v>
      </c>
      <c r="C189" s="13" t="s">
        <v>255</v>
      </c>
      <c r="D189" s="13">
        <v>294.0</v>
      </c>
      <c r="E189" s="14">
        <v>0.0</v>
      </c>
      <c r="F189" s="15">
        <f t="shared" si="1"/>
        <v>273</v>
      </c>
      <c r="G189" s="15">
        <f t="shared" si="32"/>
        <v>272.2222222</v>
      </c>
      <c r="H189" s="16">
        <v>0.03</v>
      </c>
      <c r="I189" s="17">
        <f t="shared" si="33"/>
        <v>8.166666667</v>
      </c>
      <c r="J189" s="18">
        <v>0.035</v>
      </c>
      <c r="K189" s="15">
        <f t="shared" si="34"/>
        <v>9.241944444</v>
      </c>
      <c r="L189" s="19">
        <f t="shared" si="35"/>
        <v>254.8136111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3">
        <v>2189.0</v>
      </c>
      <c r="B190" s="13" t="s">
        <v>144</v>
      </c>
      <c r="C190" s="13" t="s">
        <v>256</v>
      </c>
      <c r="D190" s="13">
        <v>355.0</v>
      </c>
      <c r="E190" s="14">
        <v>0.0</v>
      </c>
      <c r="F190" s="15">
        <f t="shared" si="1"/>
        <v>329</v>
      </c>
      <c r="G190" s="15">
        <f t="shared" si="32"/>
        <v>328.7037037</v>
      </c>
      <c r="H190" s="16">
        <v>0.03</v>
      </c>
      <c r="I190" s="17">
        <f t="shared" si="33"/>
        <v>9.861111111</v>
      </c>
      <c r="J190" s="18">
        <v>0.035</v>
      </c>
      <c r="K190" s="15">
        <f t="shared" si="34"/>
        <v>11.15949074</v>
      </c>
      <c r="L190" s="19">
        <f t="shared" si="35"/>
        <v>307.6831019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3">
        <v>2190.0</v>
      </c>
      <c r="B191" s="13" t="s">
        <v>144</v>
      </c>
      <c r="C191" s="13" t="s">
        <v>257</v>
      </c>
      <c r="D191" s="13">
        <v>365.0</v>
      </c>
      <c r="E191" s="14">
        <v>0.0</v>
      </c>
      <c r="F191" s="15">
        <f t="shared" si="1"/>
        <v>338</v>
      </c>
      <c r="G191" s="15">
        <f t="shared" si="32"/>
        <v>337.962963</v>
      </c>
      <c r="H191" s="16">
        <v>0.03</v>
      </c>
      <c r="I191" s="17">
        <f t="shared" si="33"/>
        <v>10.13888889</v>
      </c>
      <c r="J191" s="18">
        <v>0.035</v>
      </c>
      <c r="K191" s="15">
        <f t="shared" si="34"/>
        <v>11.47384259</v>
      </c>
      <c r="L191" s="19">
        <f t="shared" si="35"/>
        <v>316.3502315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3">
        <v>2191.0</v>
      </c>
      <c r="B192" s="13" t="s">
        <v>144</v>
      </c>
      <c r="C192" s="13" t="s">
        <v>258</v>
      </c>
      <c r="D192" s="13">
        <v>329.0</v>
      </c>
      <c r="E192" s="14">
        <v>0.0</v>
      </c>
      <c r="F192" s="15">
        <f t="shared" si="1"/>
        <v>305</v>
      </c>
      <c r="G192" s="15">
        <f t="shared" si="32"/>
        <v>304.6296296</v>
      </c>
      <c r="H192" s="16">
        <v>0.02</v>
      </c>
      <c r="I192" s="17">
        <f t="shared" si="33"/>
        <v>6.092592593</v>
      </c>
      <c r="J192" s="18">
        <v>0.035</v>
      </c>
      <c r="K192" s="15">
        <f t="shared" si="34"/>
        <v>10.4487963</v>
      </c>
      <c r="L192" s="19">
        <f t="shared" si="35"/>
        <v>288.0882407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3">
        <v>2192.0</v>
      </c>
      <c r="B193" s="13" t="s">
        <v>144</v>
      </c>
      <c r="C193" s="13" t="s">
        <v>259</v>
      </c>
      <c r="D193" s="13">
        <v>345.0</v>
      </c>
      <c r="E193" s="14">
        <v>0.0</v>
      </c>
      <c r="F193" s="15">
        <f t="shared" si="1"/>
        <v>320</v>
      </c>
      <c r="G193" s="15">
        <f t="shared" si="32"/>
        <v>319.4444444</v>
      </c>
      <c r="H193" s="16">
        <v>0.02</v>
      </c>
      <c r="I193" s="17">
        <f t="shared" si="33"/>
        <v>6.388888889</v>
      </c>
      <c r="J193" s="18">
        <v>0.035</v>
      </c>
      <c r="K193" s="15">
        <f t="shared" si="34"/>
        <v>10.95694444</v>
      </c>
      <c r="L193" s="19">
        <f t="shared" si="35"/>
        <v>302.0986111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3">
        <v>2193.0</v>
      </c>
      <c r="B194" s="13" t="s">
        <v>144</v>
      </c>
      <c r="C194" s="13" t="s">
        <v>260</v>
      </c>
      <c r="D194" s="13">
        <v>264.0</v>
      </c>
      <c r="E194" s="14">
        <v>0.0</v>
      </c>
      <c r="F194" s="15">
        <f t="shared" si="1"/>
        <v>245</v>
      </c>
      <c r="G194" s="15">
        <f t="shared" si="32"/>
        <v>244.4444444</v>
      </c>
      <c r="H194" s="16">
        <v>0.03</v>
      </c>
      <c r="I194" s="17">
        <f t="shared" si="33"/>
        <v>7.333333333</v>
      </c>
      <c r="J194" s="18">
        <v>0.035</v>
      </c>
      <c r="K194" s="15">
        <f t="shared" si="34"/>
        <v>8.298888889</v>
      </c>
      <c r="L194" s="19">
        <f t="shared" si="35"/>
        <v>228.8122222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3">
        <v>2194.0</v>
      </c>
      <c r="B195" s="13" t="s">
        <v>144</v>
      </c>
      <c r="C195" s="13" t="s">
        <v>261</v>
      </c>
      <c r="D195" s="13">
        <v>440.0</v>
      </c>
      <c r="E195" s="14">
        <v>0.0</v>
      </c>
      <c r="F195" s="15">
        <f t="shared" si="1"/>
        <v>408</v>
      </c>
      <c r="G195" s="15">
        <f t="shared" si="32"/>
        <v>407.4074074</v>
      </c>
      <c r="H195" s="16">
        <v>0.03</v>
      </c>
      <c r="I195" s="17">
        <f t="shared" si="33"/>
        <v>12.22222222</v>
      </c>
      <c r="J195" s="18">
        <v>0.035</v>
      </c>
      <c r="K195" s="15">
        <f t="shared" si="34"/>
        <v>13.83148148</v>
      </c>
      <c r="L195" s="19">
        <f t="shared" si="35"/>
        <v>381.3537037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3">
        <v>2195.0</v>
      </c>
      <c r="B196" s="13" t="s">
        <v>144</v>
      </c>
      <c r="C196" s="13" t="s">
        <v>262</v>
      </c>
      <c r="D196" s="13">
        <v>595.0</v>
      </c>
      <c r="E196" s="14">
        <v>0.0</v>
      </c>
      <c r="F196" s="15">
        <f t="shared" si="1"/>
        <v>551</v>
      </c>
      <c r="G196" s="15">
        <f t="shared" si="32"/>
        <v>550.9259259</v>
      </c>
      <c r="H196" s="16">
        <v>0.03</v>
      </c>
      <c r="I196" s="17">
        <f t="shared" si="33"/>
        <v>16.52777778</v>
      </c>
      <c r="J196" s="18">
        <v>0.035</v>
      </c>
      <c r="K196" s="15">
        <f t="shared" si="34"/>
        <v>18.70393519</v>
      </c>
      <c r="L196" s="19">
        <f t="shared" si="35"/>
        <v>515.694213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3">
        <v>2196.0</v>
      </c>
      <c r="B197" s="13" t="s">
        <v>144</v>
      </c>
      <c r="C197" s="13" t="s">
        <v>263</v>
      </c>
      <c r="D197" s="13">
        <v>264.0</v>
      </c>
      <c r="E197" s="14">
        <v>0.0</v>
      </c>
      <c r="F197" s="15">
        <f t="shared" si="1"/>
        <v>245</v>
      </c>
      <c r="G197" s="15">
        <f t="shared" si="32"/>
        <v>244.4444444</v>
      </c>
      <c r="H197" s="16">
        <v>0.03</v>
      </c>
      <c r="I197" s="17">
        <f t="shared" si="33"/>
        <v>7.333333333</v>
      </c>
      <c r="J197" s="18">
        <v>0.035</v>
      </c>
      <c r="K197" s="15">
        <f t="shared" si="34"/>
        <v>8.298888889</v>
      </c>
      <c r="L197" s="19">
        <f t="shared" si="35"/>
        <v>228.8122222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3">
        <v>2197.0</v>
      </c>
      <c r="B198" s="13" t="s">
        <v>144</v>
      </c>
      <c r="C198" s="13" t="s">
        <v>258</v>
      </c>
      <c r="D198" s="13">
        <v>330.0</v>
      </c>
      <c r="E198" s="14">
        <v>0.0</v>
      </c>
      <c r="F198" s="15">
        <f t="shared" si="1"/>
        <v>306</v>
      </c>
      <c r="G198" s="15">
        <f t="shared" si="32"/>
        <v>305.5555556</v>
      </c>
      <c r="H198" s="16">
        <v>0.02</v>
      </c>
      <c r="I198" s="17">
        <f t="shared" si="33"/>
        <v>6.111111111</v>
      </c>
      <c r="J198" s="18">
        <v>0.035</v>
      </c>
      <c r="K198" s="15">
        <f t="shared" si="34"/>
        <v>10.48055556</v>
      </c>
      <c r="L198" s="19">
        <f t="shared" si="35"/>
        <v>288.9638889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3">
        <v>2198.0</v>
      </c>
      <c r="B199" s="13" t="s">
        <v>144</v>
      </c>
      <c r="C199" s="13" t="s">
        <v>264</v>
      </c>
      <c r="D199" s="13">
        <v>430.0</v>
      </c>
      <c r="E199" s="14">
        <v>0.0</v>
      </c>
      <c r="F199" s="15">
        <f t="shared" si="1"/>
        <v>399</v>
      </c>
      <c r="G199" s="15">
        <f t="shared" si="32"/>
        <v>398.1481481</v>
      </c>
      <c r="H199" s="16">
        <v>0.03</v>
      </c>
      <c r="I199" s="17">
        <f t="shared" si="33"/>
        <v>11.94444444</v>
      </c>
      <c r="J199" s="18">
        <v>0.035</v>
      </c>
      <c r="K199" s="15">
        <f t="shared" si="34"/>
        <v>13.51712963</v>
      </c>
      <c r="L199" s="19">
        <f t="shared" si="35"/>
        <v>372.6865741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3">
        <v>2199.0</v>
      </c>
      <c r="B200" s="13" t="s">
        <v>144</v>
      </c>
      <c r="C200" s="13" t="s">
        <v>265</v>
      </c>
      <c r="D200" s="13">
        <v>235.0</v>
      </c>
      <c r="E200" s="14">
        <v>0.0</v>
      </c>
      <c r="F200" s="15">
        <f t="shared" si="1"/>
        <v>218</v>
      </c>
      <c r="G200" s="15">
        <f t="shared" si="32"/>
        <v>217.5925926</v>
      </c>
      <c r="H200" s="16">
        <v>0.02</v>
      </c>
      <c r="I200" s="17">
        <f t="shared" si="33"/>
        <v>4.351851852</v>
      </c>
      <c r="J200" s="18">
        <v>0.035</v>
      </c>
      <c r="K200" s="15">
        <f t="shared" si="34"/>
        <v>7.463425926</v>
      </c>
      <c r="L200" s="19">
        <f t="shared" si="35"/>
        <v>205.7773148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3">
        <v>2200.0</v>
      </c>
      <c r="B201" s="13" t="s">
        <v>144</v>
      </c>
      <c r="C201" s="13" t="s">
        <v>264</v>
      </c>
      <c r="D201" s="13">
        <v>425.0</v>
      </c>
      <c r="E201" s="14">
        <v>0.0</v>
      </c>
      <c r="F201" s="15">
        <f t="shared" si="1"/>
        <v>394</v>
      </c>
      <c r="G201" s="15">
        <f t="shared" si="32"/>
        <v>393.5185185</v>
      </c>
      <c r="H201" s="16">
        <v>0.03</v>
      </c>
      <c r="I201" s="17">
        <f t="shared" si="33"/>
        <v>11.80555556</v>
      </c>
      <c r="J201" s="18">
        <v>0.035</v>
      </c>
      <c r="K201" s="15">
        <f t="shared" si="34"/>
        <v>13.3599537</v>
      </c>
      <c r="L201" s="19">
        <f t="shared" si="35"/>
        <v>368.3530093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3">
        <v>2201.0</v>
      </c>
      <c r="B202" s="13" t="s">
        <v>144</v>
      </c>
      <c r="C202" s="13" t="s">
        <v>266</v>
      </c>
      <c r="D202" s="13">
        <v>235.0</v>
      </c>
      <c r="E202" s="14">
        <v>0.0</v>
      </c>
      <c r="F202" s="15">
        <f t="shared" si="1"/>
        <v>218</v>
      </c>
      <c r="G202" s="15">
        <f t="shared" si="32"/>
        <v>217.5925926</v>
      </c>
      <c r="H202" s="16">
        <v>0.03</v>
      </c>
      <c r="I202" s="17">
        <f t="shared" si="33"/>
        <v>6.527777778</v>
      </c>
      <c r="J202" s="18">
        <v>0.035</v>
      </c>
      <c r="K202" s="15">
        <f t="shared" si="34"/>
        <v>7.387268519</v>
      </c>
      <c r="L202" s="19">
        <f t="shared" si="35"/>
        <v>203.6775463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3">
        <v>2202.0</v>
      </c>
      <c r="B203" s="13" t="s">
        <v>144</v>
      </c>
      <c r="C203" s="13" t="s">
        <v>256</v>
      </c>
      <c r="D203" s="13">
        <v>339.0</v>
      </c>
      <c r="E203" s="14">
        <v>0.0</v>
      </c>
      <c r="F203" s="15">
        <f t="shared" si="1"/>
        <v>314</v>
      </c>
      <c r="G203" s="15">
        <f t="shared" si="32"/>
        <v>313.8888889</v>
      </c>
      <c r="H203" s="16">
        <v>0.03</v>
      </c>
      <c r="I203" s="17">
        <f t="shared" si="33"/>
        <v>9.416666667</v>
      </c>
      <c r="J203" s="18">
        <v>0.035</v>
      </c>
      <c r="K203" s="15">
        <f t="shared" si="34"/>
        <v>10.65652778</v>
      </c>
      <c r="L203" s="19">
        <f t="shared" si="35"/>
        <v>293.8156944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3">
        <v>2203.0</v>
      </c>
      <c r="B204" s="13" t="s">
        <v>144</v>
      </c>
      <c r="C204" s="13" t="s">
        <v>257</v>
      </c>
      <c r="D204" s="13">
        <v>349.0</v>
      </c>
      <c r="E204" s="14">
        <v>0.0</v>
      </c>
      <c r="F204" s="15">
        <f t="shared" si="1"/>
        <v>324</v>
      </c>
      <c r="G204" s="15">
        <f t="shared" si="32"/>
        <v>323.1481481</v>
      </c>
      <c r="H204" s="16">
        <v>0.03</v>
      </c>
      <c r="I204" s="17">
        <f t="shared" si="33"/>
        <v>9.694444444</v>
      </c>
      <c r="J204" s="18">
        <v>0.035</v>
      </c>
      <c r="K204" s="15">
        <f t="shared" si="34"/>
        <v>10.97087963</v>
      </c>
      <c r="L204" s="19">
        <f t="shared" si="35"/>
        <v>302.4828241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3">
        <v>2204.0</v>
      </c>
      <c r="B205" s="13" t="s">
        <v>144</v>
      </c>
      <c r="C205" s="13" t="s">
        <v>255</v>
      </c>
      <c r="D205" s="13">
        <v>330.0</v>
      </c>
      <c r="E205" s="14">
        <v>0.0</v>
      </c>
      <c r="F205" s="15">
        <f t="shared" si="1"/>
        <v>306</v>
      </c>
      <c r="G205" s="15">
        <f t="shared" si="32"/>
        <v>305.5555556</v>
      </c>
      <c r="H205" s="16">
        <v>0.03</v>
      </c>
      <c r="I205" s="17">
        <f t="shared" si="33"/>
        <v>9.166666667</v>
      </c>
      <c r="J205" s="18">
        <v>0.035</v>
      </c>
      <c r="K205" s="15">
        <f t="shared" si="34"/>
        <v>10.37361111</v>
      </c>
      <c r="L205" s="19">
        <f t="shared" si="35"/>
        <v>286.0152778</v>
      </c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3">
        <v>2205.0</v>
      </c>
      <c r="B206" s="13" t="s">
        <v>144</v>
      </c>
      <c r="C206" s="13" t="s">
        <v>250</v>
      </c>
      <c r="D206" s="13">
        <v>309.0</v>
      </c>
      <c r="E206" s="14">
        <v>0.0</v>
      </c>
      <c r="F206" s="15">
        <f t="shared" si="1"/>
        <v>287</v>
      </c>
      <c r="G206" s="15">
        <f t="shared" si="32"/>
        <v>286.1111111</v>
      </c>
      <c r="H206" s="16">
        <v>0.0</v>
      </c>
      <c r="I206" s="17">
        <f t="shared" si="33"/>
        <v>0</v>
      </c>
      <c r="J206" s="18">
        <v>0.035</v>
      </c>
      <c r="K206" s="15">
        <f t="shared" si="34"/>
        <v>10.01388889</v>
      </c>
      <c r="L206" s="19">
        <f t="shared" si="35"/>
        <v>276.0972222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3">
        <v>2206.0</v>
      </c>
      <c r="B207" s="13" t="s">
        <v>144</v>
      </c>
      <c r="C207" s="13" t="s">
        <v>262</v>
      </c>
      <c r="D207" s="13">
        <v>599.0</v>
      </c>
      <c r="E207" s="14">
        <v>0.0</v>
      </c>
      <c r="F207" s="15">
        <f t="shared" si="1"/>
        <v>555</v>
      </c>
      <c r="G207" s="15">
        <f t="shared" si="32"/>
        <v>554.6296296</v>
      </c>
      <c r="H207" s="16">
        <v>0.03</v>
      </c>
      <c r="I207" s="17">
        <f t="shared" si="33"/>
        <v>16.63888889</v>
      </c>
      <c r="J207" s="18">
        <v>0.035</v>
      </c>
      <c r="K207" s="15">
        <f t="shared" si="34"/>
        <v>18.82967593</v>
      </c>
      <c r="L207" s="19">
        <f t="shared" si="35"/>
        <v>519.1610648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3">
        <v>2207.0</v>
      </c>
      <c r="B208" s="13" t="s">
        <v>76</v>
      </c>
      <c r="C208" s="13" t="s">
        <v>267</v>
      </c>
      <c r="D208" s="13">
        <v>156.0</v>
      </c>
      <c r="E208" s="14">
        <v>0.0</v>
      </c>
      <c r="F208" s="15">
        <f t="shared" si="1"/>
        <v>145</v>
      </c>
      <c r="G208" s="15">
        <f t="shared" si="32"/>
        <v>144.4444444</v>
      </c>
      <c r="H208" s="16">
        <v>0.05</v>
      </c>
      <c r="I208" s="15"/>
      <c r="J208" s="18">
        <v>0.035</v>
      </c>
      <c r="K208" s="15"/>
      <c r="L208" s="20">
        <f t="shared" si="35"/>
        <v>144.4444444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3">
        <v>2208.0</v>
      </c>
      <c r="B209" s="13" t="s">
        <v>78</v>
      </c>
      <c r="C209" s="13" t="s">
        <v>268</v>
      </c>
      <c r="D209" s="13">
        <v>159.0</v>
      </c>
      <c r="E209" s="14">
        <v>0.0</v>
      </c>
      <c r="F209" s="15">
        <f t="shared" si="1"/>
        <v>145</v>
      </c>
      <c r="G209" s="15">
        <f t="shared" ref="G209:G212" si="36">D209/1.1</f>
        <v>144.5454545</v>
      </c>
      <c r="H209" s="16">
        <v>0.08</v>
      </c>
      <c r="I209" s="15"/>
      <c r="J209" s="18">
        <v>0.035</v>
      </c>
      <c r="K209" s="15"/>
      <c r="L209" s="20">
        <f t="shared" si="35"/>
        <v>144.5454545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3">
        <v>2209.0</v>
      </c>
      <c r="B210" s="13" t="s">
        <v>78</v>
      </c>
      <c r="C210" s="13" t="s">
        <v>269</v>
      </c>
      <c r="D210" s="13">
        <v>57.0</v>
      </c>
      <c r="E210" s="14">
        <v>0.0</v>
      </c>
      <c r="F210" s="15">
        <f t="shared" si="1"/>
        <v>52</v>
      </c>
      <c r="G210" s="15">
        <f t="shared" si="36"/>
        <v>51.81818182</v>
      </c>
      <c r="H210" s="16">
        <v>0.08</v>
      </c>
      <c r="I210" s="15"/>
      <c r="J210" s="18">
        <v>0.035</v>
      </c>
      <c r="K210" s="15"/>
      <c r="L210" s="20">
        <f t="shared" si="35"/>
        <v>51.81818182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3">
        <v>2210.0</v>
      </c>
      <c r="B211" s="13" t="s">
        <v>78</v>
      </c>
      <c r="C211" s="13" t="s">
        <v>270</v>
      </c>
      <c r="D211" s="13">
        <v>95.0</v>
      </c>
      <c r="E211" s="14">
        <v>0.0</v>
      </c>
      <c r="F211" s="15">
        <f t="shared" si="1"/>
        <v>87</v>
      </c>
      <c r="G211" s="15">
        <f t="shared" si="36"/>
        <v>86.36363636</v>
      </c>
      <c r="H211" s="16">
        <v>0.08</v>
      </c>
      <c r="I211" s="15"/>
      <c r="J211" s="18">
        <v>0.035</v>
      </c>
      <c r="K211" s="15"/>
      <c r="L211" s="20">
        <f t="shared" si="35"/>
        <v>86.36363636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3">
        <v>2211.0</v>
      </c>
      <c r="B212" s="13" t="s">
        <v>78</v>
      </c>
      <c r="C212" s="13" t="s">
        <v>271</v>
      </c>
      <c r="D212" s="13">
        <v>435.0</v>
      </c>
      <c r="E212" s="14">
        <v>0.0</v>
      </c>
      <c r="F212" s="15">
        <f t="shared" si="1"/>
        <v>396</v>
      </c>
      <c r="G212" s="15">
        <f t="shared" si="36"/>
        <v>395.4545455</v>
      </c>
      <c r="H212" s="16">
        <v>0.143</v>
      </c>
      <c r="I212" s="15"/>
      <c r="J212" s="18">
        <v>0.035</v>
      </c>
      <c r="K212" s="15"/>
      <c r="L212" s="20">
        <f t="shared" si="35"/>
        <v>395.4545455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3">
        <v>2212.0</v>
      </c>
      <c r="B213" s="13" t="s">
        <v>87</v>
      </c>
      <c r="C213" s="13" t="s">
        <v>272</v>
      </c>
      <c r="D213" s="13">
        <v>60.0</v>
      </c>
      <c r="E213" s="14">
        <v>0.0</v>
      </c>
      <c r="F213" s="15">
        <f t="shared" si="1"/>
        <v>56</v>
      </c>
      <c r="G213" s="15">
        <f>D213/1.09</f>
        <v>55.04587156</v>
      </c>
      <c r="H213" s="16">
        <v>0.0</v>
      </c>
      <c r="I213" s="15"/>
      <c r="J213" s="18">
        <v>0.035</v>
      </c>
      <c r="K213" s="15"/>
      <c r="L213" s="20">
        <f t="shared" si="35"/>
        <v>55.04587156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autoFilter ref="$B$1:$AD$21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32.25"/>
    <col customWidth="1" min="8" max="8" width="1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21">
        <v>3001.0</v>
      </c>
      <c r="B2" s="21" t="s">
        <v>273</v>
      </c>
      <c r="C2" s="22">
        <v>32.0</v>
      </c>
      <c r="D2" s="10"/>
      <c r="E2" s="10">
        <f t="shared" ref="E2:E45" si="1">ROUNDUP(F2,0)</f>
        <v>29</v>
      </c>
      <c r="F2" s="23">
        <v>29.0</v>
      </c>
      <c r="G2" s="24"/>
      <c r="H2" s="10"/>
      <c r="I2" s="25">
        <v>0.045</v>
      </c>
      <c r="J2" s="10"/>
      <c r="K2" s="10"/>
    </row>
    <row r="3">
      <c r="A3" s="21">
        <v>3002.0</v>
      </c>
      <c r="B3" s="21" t="s">
        <v>274</v>
      </c>
      <c r="C3" s="22">
        <v>65.0</v>
      </c>
      <c r="D3" s="10"/>
      <c r="E3" s="10">
        <f t="shared" si="1"/>
        <v>60</v>
      </c>
      <c r="F3" s="23">
        <v>60.0</v>
      </c>
      <c r="G3" s="24"/>
      <c r="H3" s="10"/>
      <c r="I3" s="25">
        <v>0.045</v>
      </c>
      <c r="J3" s="10"/>
      <c r="K3" s="10"/>
    </row>
    <row r="4">
      <c r="A4" s="21">
        <v>3003.0</v>
      </c>
      <c r="B4" s="21" t="s">
        <v>275</v>
      </c>
      <c r="C4" s="22">
        <v>55.0</v>
      </c>
      <c r="D4" s="10"/>
      <c r="E4" s="10">
        <f t="shared" si="1"/>
        <v>50</v>
      </c>
      <c r="F4" s="10">
        <f>C4/1.1</f>
        <v>50</v>
      </c>
      <c r="G4" s="24"/>
      <c r="H4" s="10"/>
      <c r="I4" s="25">
        <v>0.045</v>
      </c>
      <c r="J4" s="10"/>
      <c r="K4" s="10"/>
    </row>
    <row r="5">
      <c r="A5" s="21">
        <v>3004.0</v>
      </c>
      <c r="B5" s="21" t="s">
        <v>276</v>
      </c>
      <c r="C5" s="22">
        <v>147.0</v>
      </c>
      <c r="D5" s="10"/>
      <c r="E5" s="10">
        <f t="shared" si="1"/>
        <v>130</v>
      </c>
      <c r="F5" s="23">
        <v>130.0</v>
      </c>
      <c r="G5" s="24"/>
      <c r="H5" s="10"/>
      <c r="I5" s="25">
        <v>0.045</v>
      </c>
      <c r="J5" s="10"/>
      <c r="K5" s="10"/>
    </row>
    <row r="6">
      <c r="A6" s="21">
        <v>3005.0</v>
      </c>
      <c r="B6" s="21" t="s">
        <v>277</v>
      </c>
      <c r="C6" s="22">
        <v>220.0</v>
      </c>
      <c r="D6" s="10"/>
      <c r="E6" s="10">
        <f t="shared" si="1"/>
        <v>150</v>
      </c>
      <c r="F6" s="23">
        <v>150.0</v>
      </c>
      <c r="G6" s="24"/>
      <c r="H6" s="10"/>
      <c r="I6" s="25">
        <v>0.045</v>
      </c>
      <c r="J6" s="10"/>
      <c r="K6" s="10"/>
    </row>
    <row r="7">
      <c r="A7" s="21">
        <v>3006.0</v>
      </c>
      <c r="B7" s="21" t="s">
        <v>278</v>
      </c>
      <c r="C7" s="22">
        <v>110.0</v>
      </c>
      <c r="D7" s="10"/>
      <c r="E7" s="10">
        <f t="shared" si="1"/>
        <v>75</v>
      </c>
      <c r="F7" s="23">
        <v>75.0</v>
      </c>
      <c r="G7" s="24"/>
      <c r="H7" s="10"/>
      <c r="I7" s="25">
        <v>0.045</v>
      </c>
      <c r="J7" s="10"/>
      <c r="K7" s="10"/>
    </row>
    <row r="8">
      <c r="A8" s="21">
        <v>3007.0</v>
      </c>
      <c r="B8" s="21" t="s">
        <v>279</v>
      </c>
      <c r="C8" s="22">
        <v>200.0</v>
      </c>
      <c r="D8" s="10"/>
      <c r="E8" s="10">
        <f t="shared" si="1"/>
        <v>182</v>
      </c>
      <c r="F8" s="10">
        <f>C8/1.1</f>
        <v>181.8181818</v>
      </c>
      <c r="G8" s="24"/>
      <c r="H8" s="10"/>
      <c r="I8" s="25">
        <v>0.045</v>
      </c>
      <c r="J8" s="10"/>
      <c r="K8" s="10"/>
    </row>
    <row r="9">
      <c r="A9" s="21">
        <v>3008.0</v>
      </c>
      <c r="B9" s="21" t="s">
        <v>280</v>
      </c>
      <c r="C9" s="22">
        <v>10.0</v>
      </c>
      <c r="D9" s="10"/>
      <c r="E9" s="10">
        <f t="shared" si="1"/>
        <v>9</v>
      </c>
      <c r="F9" s="23">
        <v>9.0</v>
      </c>
      <c r="G9" s="24"/>
      <c r="H9" s="10"/>
      <c r="I9" s="25">
        <v>0.045</v>
      </c>
      <c r="J9" s="10"/>
      <c r="K9" s="10"/>
    </row>
    <row r="10">
      <c r="A10" s="21">
        <v>3009.0</v>
      </c>
      <c r="B10" s="21" t="s">
        <v>281</v>
      </c>
      <c r="C10" s="22">
        <v>20.0</v>
      </c>
      <c r="D10" s="10"/>
      <c r="E10" s="10">
        <f t="shared" si="1"/>
        <v>19</v>
      </c>
      <c r="F10" s="10">
        <f>C10/1.1</f>
        <v>18.18181818</v>
      </c>
      <c r="G10" s="24"/>
      <c r="H10" s="10"/>
      <c r="I10" s="25">
        <v>0.045</v>
      </c>
      <c r="J10" s="10"/>
      <c r="K10" s="10"/>
    </row>
    <row r="11">
      <c r="A11" s="21">
        <v>3010.0</v>
      </c>
      <c r="B11" s="21" t="s">
        <v>282</v>
      </c>
      <c r="C11" s="22">
        <v>32.0</v>
      </c>
      <c r="D11" s="10"/>
      <c r="E11" s="10">
        <f t="shared" si="1"/>
        <v>29</v>
      </c>
      <c r="F11" s="23">
        <v>29.0</v>
      </c>
      <c r="G11" s="24"/>
      <c r="H11" s="10"/>
      <c r="I11" s="25">
        <v>0.045</v>
      </c>
      <c r="J11" s="10"/>
      <c r="K11" s="10"/>
    </row>
    <row r="12">
      <c r="A12" s="21">
        <v>3011.0</v>
      </c>
      <c r="B12" s="21" t="s">
        <v>283</v>
      </c>
      <c r="C12" s="22">
        <v>25.0</v>
      </c>
      <c r="D12" s="10"/>
      <c r="E12" s="10">
        <f t="shared" si="1"/>
        <v>22</v>
      </c>
      <c r="F12" s="23">
        <v>22.0</v>
      </c>
      <c r="G12" s="24"/>
      <c r="H12" s="10"/>
      <c r="I12" s="25">
        <v>0.045</v>
      </c>
      <c r="J12" s="10"/>
      <c r="K12" s="10"/>
    </row>
    <row r="13">
      <c r="A13" s="21">
        <v>3012.0</v>
      </c>
      <c r="B13" s="21" t="s">
        <v>284</v>
      </c>
      <c r="C13" s="22">
        <v>25.0</v>
      </c>
      <c r="D13" s="10"/>
      <c r="E13" s="10">
        <f t="shared" si="1"/>
        <v>22</v>
      </c>
      <c r="F13" s="23">
        <v>22.0</v>
      </c>
      <c r="G13" s="24"/>
      <c r="H13" s="10"/>
      <c r="I13" s="25">
        <v>0.045</v>
      </c>
      <c r="J13" s="10"/>
      <c r="K13" s="10"/>
    </row>
    <row r="14">
      <c r="A14" s="21">
        <v>3013.0</v>
      </c>
      <c r="B14" s="21" t="s">
        <v>285</v>
      </c>
      <c r="C14" s="22">
        <v>100.0</v>
      </c>
      <c r="D14" s="10"/>
      <c r="E14" s="10">
        <f t="shared" si="1"/>
        <v>91</v>
      </c>
      <c r="F14" s="10">
        <f t="shared" ref="F14:F15" si="2">C14/1.1</f>
        <v>90.90909091</v>
      </c>
      <c r="G14" s="25">
        <v>0.03</v>
      </c>
      <c r="H14" s="10">
        <f>F14*G14</f>
        <v>2.727272727</v>
      </c>
      <c r="I14" s="25">
        <v>0.045</v>
      </c>
      <c r="J14" s="10">
        <f t="shared" ref="J14:J45" si="3">(F14-H14)*I14</f>
        <v>3.968181818</v>
      </c>
      <c r="K14" s="10">
        <f t="shared" ref="K14:K45" si="4">F14-(H14+J14)</f>
        <v>84.21363636</v>
      </c>
    </row>
    <row r="15">
      <c r="A15" s="21">
        <v>3014.0</v>
      </c>
      <c r="B15" s="21" t="s">
        <v>286</v>
      </c>
      <c r="C15" s="22">
        <v>135.0</v>
      </c>
      <c r="D15" s="10"/>
      <c r="E15" s="10">
        <f t="shared" si="1"/>
        <v>123</v>
      </c>
      <c r="F15" s="10">
        <f t="shared" si="2"/>
        <v>122.7272727</v>
      </c>
      <c r="G15" s="24"/>
      <c r="H15" s="10"/>
      <c r="I15" s="25">
        <v>0.045</v>
      </c>
      <c r="J15" s="10">
        <f t="shared" si="3"/>
        <v>5.522727273</v>
      </c>
      <c r="K15" s="10">
        <f t="shared" si="4"/>
        <v>117.2045455</v>
      </c>
    </row>
    <row r="16">
      <c r="A16" s="21">
        <v>3015.0</v>
      </c>
      <c r="B16" s="21" t="s">
        <v>287</v>
      </c>
      <c r="C16" s="22">
        <v>360.0</v>
      </c>
      <c r="D16" s="10"/>
      <c r="E16" s="10">
        <f t="shared" si="1"/>
        <v>250</v>
      </c>
      <c r="F16" s="23">
        <v>250.0</v>
      </c>
      <c r="G16" s="24"/>
      <c r="H16" s="10"/>
      <c r="I16" s="25">
        <v>0.045</v>
      </c>
      <c r="J16" s="10">
        <f t="shared" si="3"/>
        <v>11.25</v>
      </c>
      <c r="K16" s="10">
        <f t="shared" si="4"/>
        <v>238.75</v>
      </c>
    </row>
    <row r="17">
      <c r="A17" s="21">
        <v>3016.0</v>
      </c>
      <c r="B17" s="21" t="s">
        <v>288</v>
      </c>
      <c r="C17" s="22">
        <v>15.0</v>
      </c>
      <c r="D17" s="10"/>
      <c r="E17" s="10">
        <f t="shared" si="1"/>
        <v>13</v>
      </c>
      <c r="F17" s="23">
        <v>13.0</v>
      </c>
      <c r="G17" s="24"/>
      <c r="H17" s="10"/>
      <c r="I17" s="25">
        <v>0.045</v>
      </c>
      <c r="J17" s="10">
        <f t="shared" si="3"/>
        <v>0.585</v>
      </c>
      <c r="K17" s="10">
        <f t="shared" si="4"/>
        <v>12.415</v>
      </c>
    </row>
    <row r="18">
      <c r="A18" s="21">
        <v>3017.0</v>
      </c>
      <c r="B18" s="21" t="s">
        <v>289</v>
      </c>
      <c r="C18" s="22">
        <v>120.0</v>
      </c>
      <c r="D18" s="10"/>
      <c r="E18" s="10">
        <f t="shared" si="1"/>
        <v>90</v>
      </c>
      <c r="F18" s="23">
        <v>90.0</v>
      </c>
      <c r="G18" s="24"/>
      <c r="H18" s="10"/>
      <c r="I18" s="25">
        <v>0.045</v>
      </c>
      <c r="J18" s="10">
        <f t="shared" si="3"/>
        <v>4.05</v>
      </c>
      <c r="K18" s="10">
        <f t="shared" si="4"/>
        <v>85.95</v>
      </c>
    </row>
    <row r="19">
      <c r="A19" s="21">
        <v>3018.0</v>
      </c>
      <c r="B19" s="21" t="s">
        <v>290</v>
      </c>
      <c r="C19" s="22">
        <v>120.0</v>
      </c>
      <c r="D19" s="10"/>
      <c r="E19" s="10">
        <f t="shared" si="1"/>
        <v>110</v>
      </c>
      <c r="F19" s="10">
        <f>C19/1.1</f>
        <v>109.0909091</v>
      </c>
      <c r="G19" s="24"/>
      <c r="H19" s="10"/>
      <c r="I19" s="25">
        <v>0.045</v>
      </c>
      <c r="J19" s="10">
        <f t="shared" si="3"/>
        <v>4.909090909</v>
      </c>
      <c r="K19" s="10">
        <f t="shared" si="4"/>
        <v>104.1818182</v>
      </c>
    </row>
    <row r="20">
      <c r="A20" s="21">
        <v>3019.0</v>
      </c>
      <c r="B20" s="21" t="s">
        <v>284</v>
      </c>
      <c r="C20" s="22">
        <v>25.0</v>
      </c>
      <c r="D20" s="10"/>
      <c r="E20" s="10">
        <f t="shared" si="1"/>
        <v>22</v>
      </c>
      <c r="F20" s="23">
        <v>22.0</v>
      </c>
      <c r="G20" s="24"/>
      <c r="H20" s="10"/>
      <c r="I20" s="25">
        <v>0.045</v>
      </c>
      <c r="J20" s="10">
        <f t="shared" si="3"/>
        <v>0.99</v>
      </c>
      <c r="K20" s="10">
        <f t="shared" si="4"/>
        <v>21.01</v>
      </c>
    </row>
    <row r="21">
      <c r="A21" s="21">
        <v>3020.0</v>
      </c>
      <c r="B21" s="21" t="s">
        <v>283</v>
      </c>
      <c r="C21" s="22">
        <v>25.0</v>
      </c>
      <c r="D21" s="10"/>
      <c r="E21" s="10">
        <f t="shared" si="1"/>
        <v>22</v>
      </c>
      <c r="F21" s="23">
        <v>22.0</v>
      </c>
      <c r="G21" s="24"/>
      <c r="H21" s="10"/>
      <c r="I21" s="25">
        <v>0.045</v>
      </c>
      <c r="J21" s="10">
        <f t="shared" si="3"/>
        <v>0.99</v>
      </c>
      <c r="K21" s="10">
        <f t="shared" si="4"/>
        <v>21.01</v>
      </c>
    </row>
    <row r="22">
      <c r="A22" s="21">
        <v>3021.0</v>
      </c>
      <c r="B22" s="21" t="s">
        <v>291</v>
      </c>
      <c r="C22" s="22">
        <v>47.0</v>
      </c>
      <c r="D22" s="10"/>
      <c r="E22" s="10">
        <f t="shared" si="1"/>
        <v>40</v>
      </c>
      <c r="F22" s="23">
        <v>40.0</v>
      </c>
      <c r="G22" s="24"/>
      <c r="H22" s="10"/>
      <c r="I22" s="25">
        <v>0.045</v>
      </c>
      <c r="J22" s="10">
        <f t="shared" si="3"/>
        <v>1.8</v>
      </c>
      <c r="K22" s="10">
        <f t="shared" si="4"/>
        <v>38.2</v>
      </c>
    </row>
    <row r="23">
      <c r="A23" s="21">
        <v>3022.0</v>
      </c>
      <c r="B23" s="21" t="s">
        <v>292</v>
      </c>
      <c r="C23" s="22">
        <v>150.0</v>
      </c>
      <c r="D23" s="10"/>
      <c r="E23" s="10">
        <f t="shared" si="1"/>
        <v>110</v>
      </c>
      <c r="F23" s="23">
        <v>110.0</v>
      </c>
      <c r="G23" s="24"/>
      <c r="H23" s="10"/>
      <c r="I23" s="25">
        <v>0.045</v>
      </c>
      <c r="J23" s="10">
        <f t="shared" si="3"/>
        <v>4.95</v>
      </c>
      <c r="K23" s="10">
        <f t="shared" si="4"/>
        <v>105.05</v>
      </c>
    </row>
    <row r="24">
      <c r="A24" s="21">
        <v>3023.0</v>
      </c>
      <c r="B24" s="21" t="s">
        <v>293</v>
      </c>
      <c r="C24" s="22">
        <v>224.0</v>
      </c>
      <c r="D24" s="10"/>
      <c r="E24" s="10">
        <f t="shared" si="1"/>
        <v>200</v>
      </c>
      <c r="F24" s="23">
        <v>200.0</v>
      </c>
      <c r="G24" s="24"/>
      <c r="H24" s="10"/>
      <c r="I24" s="25">
        <v>0.045</v>
      </c>
      <c r="J24" s="10">
        <f t="shared" si="3"/>
        <v>9</v>
      </c>
      <c r="K24" s="10">
        <f t="shared" si="4"/>
        <v>191</v>
      </c>
    </row>
    <row r="25">
      <c r="A25" s="21">
        <v>3024.0</v>
      </c>
      <c r="B25" s="21" t="s">
        <v>287</v>
      </c>
      <c r="C25" s="22">
        <v>360.0</v>
      </c>
      <c r="D25" s="10"/>
      <c r="E25" s="10">
        <f t="shared" si="1"/>
        <v>250</v>
      </c>
      <c r="F25" s="23">
        <v>250.0</v>
      </c>
      <c r="G25" s="24"/>
      <c r="H25" s="10"/>
      <c r="I25" s="25">
        <v>0.045</v>
      </c>
      <c r="J25" s="10">
        <f t="shared" si="3"/>
        <v>11.25</v>
      </c>
      <c r="K25" s="10">
        <f t="shared" si="4"/>
        <v>238.75</v>
      </c>
    </row>
    <row r="26">
      <c r="A26" s="21">
        <v>3025.0</v>
      </c>
      <c r="B26" s="21" t="s">
        <v>294</v>
      </c>
      <c r="C26" s="22">
        <v>235.0</v>
      </c>
      <c r="D26" s="10"/>
      <c r="E26" s="10">
        <f t="shared" si="1"/>
        <v>214</v>
      </c>
      <c r="F26" s="10">
        <f t="shared" ref="F26:F27" si="5">C26/1.1</f>
        <v>213.6363636</v>
      </c>
      <c r="G26" s="24"/>
      <c r="H26" s="10"/>
      <c r="I26" s="25">
        <v>0.045</v>
      </c>
      <c r="J26" s="10">
        <f t="shared" si="3"/>
        <v>9.613636364</v>
      </c>
      <c r="K26" s="10">
        <f t="shared" si="4"/>
        <v>204.0227273</v>
      </c>
    </row>
    <row r="27">
      <c r="A27" s="21">
        <v>3026.0</v>
      </c>
      <c r="B27" s="21" t="s">
        <v>295</v>
      </c>
      <c r="C27" s="22">
        <v>200.0</v>
      </c>
      <c r="D27" s="10"/>
      <c r="E27" s="10">
        <f t="shared" si="1"/>
        <v>182</v>
      </c>
      <c r="F27" s="10">
        <f t="shared" si="5"/>
        <v>181.8181818</v>
      </c>
      <c r="G27" s="24"/>
      <c r="H27" s="10"/>
      <c r="I27" s="25">
        <v>0.045</v>
      </c>
      <c r="J27" s="10">
        <f t="shared" si="3"/>
        <v>8.181818182</v>
      </c>
      <c r="K27" s="10">
        <f t="shared" si="4"/>
        <v>173.6363636</v>
      </c>
    </row>
    <row r="28">
      <c r="A28" s="21">
        <v>3027.0</v>
      </c>
      <c r="B28" s="21" t="s">
        <v>296</v>
      </c>
      <c r="C28" s="22">
        <v>10.0</v>
      </c>
      <c r="D28" s="10"/>
      <c r="E28" s="10">
        <f t="shared" si="1"/>
        <v>10</v>
      </c>
      <c r="F28" s="23">
        <v>10.0</v>
      </c>
      <c r="G28" s="24"/>
      <c r="H28" s="10"/>
      <c r="I28" s="25">
        <v>0.045</v>
      </c>
      <c r="J28" s="10">
        <f t="shared" si="3"/>
        <v>0.45</v>
      </c>
      <c r="K28" s="10">
        <f t="shared" si="4"/>
        <v>9.55</v>
      </c>
    </row>
    <row r="29">
      <c r="A29" s="21">
        <v>3028.0</v>
      </c>
      <c r="B29" s="21" t="s">
        <v>297</v>
      </c>
      <c r="C29" s="22">
        <v>75.0</v>
      </c>
      <c r="D29" s="10"/>
      <c r="E29" s="10">
        <f t="shared" si="1"/>
        <v>65</v>
      </c>
      <c r="F29" s="23">
        <v>65.0</v>
      </c>
      <c r="G29" s="24"/>
      <c r="H29" s="10"/>
      <c r="I29" s="25">
        <v>0.045</v>
      </c>
      <c r="J29" s="10">
        <f t="shared" si="3"/>
        <v>2.925</v>
      </c>
      <c r="K29" s="10">
        <f t="shared" si="4"/>
        <v>62.075</v>
      </c>
    </row>
    <row r="30">
      <c r="A30" s="21">
        <v>3029.0</v>
      </c>
      <c r="B30" s="21" t="s">
        <v>298</v>
      </c>
      <c r="C30" s="22">
        <v>223.0</v>
      </c>
      <c r="D30" s="10"/>
      <c r="E30" s="10">
        <f t="shared" si="1"/>
        <v>190</v>
      </c>
      <c r="F30" s="23">
        <v>190.0</v>
      </c>
      <c r="G30" s="24"/>
      <c r="H30" s="10"/>
      <c r="I30" s="25">
        <v>0.045</v>
      </c>
      <c r="J30" s="10">
        <f t="shared" si="3"/>
        <v>8.55</v>
      </c>
      <c r="K30" s="10">
        <f t="shared" si="4"/>
        <v>181.45</v>
      </c>
    </row>
    <row r="31">
      <c r="A31" s="21">
        <v>3030.0</v>
      </c>
      <c r="B31" s="21" t="s">
        <v>299</v>
      </c>
      <c r="C31" s="22">
        <v>100.0</v>
      </c>
      <c r="D31" s="10"/>
      <c r="E31" s="10">
        <f t="shared" si="1"/>
        <v>91</v>
      </c>
      <c r="F31" s="10">
        <f>C31/1.1</f>
        <v>90.90909091</v>
      </c>
      <c r="G31" s="24"/>
      <c r="H31" s="10"/>
      <c r="I31" s="25">
        <v>0.045</v>
      </c>
      <c r="J31" s="10">
        <f t="shared" si="3"/>
        <v>4.090909091</v>
      </c>
      <c r="K31" s="10">
        <f t="shared" si="4"/>
        <v>86.81818182</v>
      </c>
    </row>
    <row r="32">
      <c r="A32" s="21">
        <v>3031.0</v>
      </c>
      <c r="B32" s="21" t="s">
        <v>300</v>
      </c>
      <c r="C32" s="22">
        <v>58.0</v>
      </c>
      <c r="D32" s="10"/>
      <c r="E32" s="10">
        <f t="shared" si="1"/>
        <v>50</v>
      </c>
      <c r="F32" s="23">
        <v>50.0</v>
      </c>
      <c r="G32" s="24"/>
      <c r="H32" s="10"/>
      <c r="I32" s="25">
        <v>0.045</v>
      </c>
      <c r="J32" s="10">
        <f t="shared" si="3"/>
        <v>2.25</v>
      </c>
      <c r="K32" s="10">
        <f t="shared" si="4"/>
        <v>47.75</v>
      </c>
    </row>
    <row r="33">
      <c r="A33" s="21">
        <v>3032.0</v>
      </c>
      <c r="B33" s="21" t="s">
        <v>285</v>
      </c>
      <c r="C33" s="22">
        <v>100.0</v>
      </c>
      <c r="D33" s="10"/>
      <c r="E33" s="10">
        <f t="shared" si="1"/>
        <v>91</v>
      </c>
      <c r="F33" s="10">
        <f>C33/1.1</f>
        <v>90.90909091</v>
      </c>
      <c r="G33" s="24"/>
      <c r="H33" s="10"/>
      <c r="I33" s="25">
        <v>0.045</v>
      </c>
      <c r="J33" s="10">
        <f t="shared" si="3"/>
        <v>4.090909091</v>
      </c>
      <c r="K33" s="10">
        <f t="shared" si="4"/>
        <v>86.81818182</v>
      </c>
    </row>
    <row r="34">
      <c r="A34" s="21">
        <v>3033.0</v>
      </c>
      <c r="B34" s="21" t="s">
        <v>301</v>
      </c>
      <c r="C34" s="22">
        <v>10.0</v>
      </c>
      <c r="D34" s="10"/>
      <c r="E34" s="10">
        <f t="shared" si="1"/>
        <v>9</v>
      </c>
      <c r="F34" s="23">
        <v>9.0</v>
      </c>
      <c r="G34" s="24"/>
      <c r="H34" s="10"/>
      <c r="I34" s="25">
        <v>0.045</v>
      </c>
      <c r="J34" s="10">
        <f t="shared" si="3"/>
        <v>0.405</v>
      </c>
      <c r="K34" s="10">
        <f t="shared" si="4"/>
        <v>8.595</v>
      </c>
    </row>
    <row r="35">
      <c r="A35" s="21">
        <v>3034.0</v>
      </c>
      <c r="B35" s="21" t="s">
        <v>302</v>
      </c>
      <c r="C35" s="22">
        <v>80.0</v>
      </c>
      <c r="D35" s="10"/>
      <c r="E35" s="10">
        <f t="shared" si="1"/>
        <v>73</v>
      </c>
      <c r="F35" s="23">
        <v>73.0</v>
      </c>
      <c r="G35" s="24"/>
      <c r="H35" s="10"/>
      <c r="I35" s="25">
        <v>0.045</v>
      </c>
      <c r="J35" s="10">
        <f t="shared" si="3"/>
        <v>3.285</v>
      </c>
      <c r="K35" s="10">
        <f t="shared" si="4"/>
        <v>69.715</v>
      </c>
    </row>
    <row r="36">
      <c r="A36" s="21">
        <v>3035.0</v>
      </c>
      <c r="B36" s="21" t="s">
        <v>303</v>
      </c>
      <c r="C36" s="22">
        <v>120.0</v>
      </c>
      <c r="D36" s="10"/>
      <c r="E36" s="10">
        <f t="shared" si="1"/>
        <v>100</v>
      </c>
      <c r="F36" s="23">
        <v>100.0</v>
      </c>
      <c r="G36" s="24"/>
      <c r="H36" s="10"/>
      <c r="I36" s="25">
        <v>0.045</v>
      </c>
      <c r="J36" s="10">
        <f t="shared" si="3"/>
        <v>4.5</v>
      </c>
      <c r="K36" s="10">
        <f t="shared" si="4"/>
        <v>95.5</v>
      </c>
    </row>
    <row r="37">
      <c r="A37" s="21">
        <v>3036.0</v>
      </c>
      <c r="B37" s="21" t="s">
        <v>304</v>
      </c>
      <c r="C37" s="22">
        <v>50.0</v>
      </c>
      <c r="D37" s="10"/>
      <c r="E37" s="10">
        <f t="shared" si="1"/>
        <v>45</v>
      </c>
      <c r="F37" s="23">
        <v>45.0</v>
      </c>
      <c r="G37" s="24"/>
      <c r="H37" s="10"/>
      <c r="I37" s="25">
        <v>0.045</v>
      </c>
      <c r="J37" s="10">
        <f t="shared" si="3"/>
        <v>2.025</v>
      </c>
      <c r="K37" s="10">
        <f t="shared" si="4"/>
        <v>42.975</v>
      </c>
    </row>
    <row r="38">
      <c r="A38" s="21">
        <v>3037.0</v>
      </c>
      <c r="B38" s="21" t="s">
        <v>288</v>
      </c>
      <c r="C38" s="22">
        <v>15.0</v>
      </c>
      <c r="D38" s="10"/>
      <c r="E38" s="10">
        <f t="shared" si="1"/>
        <v>12</v>
      </c>
      <c r="F38" s="23">
        <v>12.0</v>
      </c>
      <c r="G38" s="24"/>
      <c r="H38" s="10"/>
      <c r="I38" s="25">
        <v>0.045</v>
      </c>
      <c r="J38" s="10">
        <f t="shared" si="3"/>
        <v>0.54</v>
      </c>
      <c r="K38" s="10">
        <f t="shared" si="4"/>
        <v>11.46</v>
      </c>
    </row>
    <row r="39">
      <c r="A39" s="21">
        <v>3038.0</v>
      </c>
      <c r="B39" s="21" t="s">
        <v>305</v>
      </c>
      <c r="C39" s="22">
        <v>10.0</v>
      </c>
      <c r="D39" s="10"/>
      <c r="E39" s="10">
        <f t="shared" si="1"/>
        <v>9</v>
      </c>
      <c r="F39" s="23">
        <v>9.0</v>
      </c>
      <c r="G39" s="24"/>
      <c r="H39" s="10"/>
      <c r="I39" s="25">
        <v>0.045</v>
      </c>
      <c r="J39" s="10">
        <f t="shared" si="3"/>
        <v>0.405</v>
      </c>
      <c r="K39" s="10">
        <f t="shared" si="4"/>
        <v>8.595</v>
      </c>
    </row>
    <row r="40">
      <c r="A40" s="21">
        <v>3039.0</v>
      </c>
      <c r="B40" s="21" t="s">
        <v>306</v>
      </c>
      <c r="C40" s="22">
        <v>10.0</v>
      </c>
      <c r="D40" s="10"/>
      <c r="E40" s="10">
        <f t="shared" si="1"/>
        <v>9</v>
      </c>
      <c r="F40" s="23">
        <v>9.0</v>
      </c>
      <c r="G40" s="24"/>
      <c r="H40" s="10"/>
      <c r="I40" s="25">
        <v>0.045</v>
      </c>
      <c r="J40" s="10">
        <f t="shared" si="3"/>
        <v>0.405</v>
      </c>
      <c r="K40" s="10">
        <f t="shared" si="4"/>
        <v>8.595</v>
      </c>
    </row>
    <row r="41">
      <c r="A41" s="21">
        <v>3040.0</v>
      </c>
      <c r="B41" s="21" t="s">
        <v>307</v>
      </c>
      <c r="C41" s="22">
        <v>10.0</v>
      </c>
      <c r="D41" s="10"/>
      <c r="E41" s="10">
        <f t="shared" si="1"/>
        <v>9</v>
      </c>
      <c r="F41" s="23">
        <v>9.0</v>
      </c>
      <c r="G41" s="24"/>
      <c r="H41" s="10"/>
      <c r="I41" s="25">
        <v>0.045</v>
      </c>
      <c r="J41" s="10">
        <f t="shared" si="3"/>
        <v>0.405</v>
      </c>
      <c r="K41" s="10">
        <f t="shared" si="4"/>
        <v>8.595</v>
      </c>
    </row>
    <row r="42">
      <c r="A42" s="21">
        <v>3041.0</v>
      </c>
      <c r="B42" s="21" t="s">
        <v>308</v>
      </c>
      <c r="C42" s="22">
        <v>10.0</v>
      </c>
      <c r="D42" s="10"/>
      <c r="E42" s="10">
        <f t="shared" si="1"/>
        <v>9</v>
      </c>
      <c r="F42" s="23">
        <v>9.0</v>
      </c>
      <c r="G42" s="24"/>
      <c r="H42" s="10"/>
      <c r="I42" s="25">
        <v>0.045</v>
      </c>
      <c r="J42" s="10">
        <f t="shared" si="3"/>
        <v>0.405</v>
      </c>
      <c r="K42" s="10">
        <f t="shared" si="4"/>
        <v>8.595</v>
      </c>
    </row>
    <row r="43">
      <c r="A43" s="21">
        <v>3042.0</v>
      </c>
      <c r="B43" s="21" t="s">
        <v>309</v>
      </c>
      <c r="C43" s="22">
        <v>10.0</v>
      </c>
      <c r="D43" s="10"/>
      <c r="E43" s="10">
        <f t="shared" si="1"/>
        <v>9</v>
      </c>
      <c r="F43" s="23">
        <v>9.0</v>
      </c>
      <c r="G43" s="24"/>
      <c r="H43" s="10"/>
      <c r="I43" s="25">
        <v>0.045</v>
      </c>
      <c r="J43" s="10">
        <f t="shared" si="3"/>
        <v>0.405</v>
      </c>
      <c r="K43" s="10">
        <f t="shared" si="4"/>
        <v>8.595</v>
      </c>
    </row>
    <row r="44">
      <c r="A44" s="21">
        <v>3043.0</v>
      </c>
      <c r="B44" s="21" t="s">
        <v>295</v>
      </c>
      <c r="C44" s="22">
        <v>200.0</v>
      </c>
      <c r="D44" s="10"/>
      <c r="E44" s="10">
        <f t="shared" si="1"/>
        <v>182</v>
      </c>
      <c r="F44" s="10">
        <f>C44/1.1</f>
        <v>181.8181818</v>
      </c>
      <c r="G44" s="24"/>
      <c r="H44" s="10"/>
      <c r="I44" s="25">
        <v>0.045</v>
      </c>
      <c r="J44" s="10">
        <f t="shared" si="3"/>
        <v>8.181818182</v>
      </c>
      <c r="K44" s="10">
        <f t="shared" si="4"/>
        <v>173.6363636</v>
      </c>
    </row>
    <row r="45">
      <c r="A45" s="21">
        <v>3044.0</v>
      </c>
      <c r="B45" s="21" t="s">
        <v>310</v>
      </c>
      <c r="C45" s="22">
        <v>90.0</v>
      </c>
      <c r="D45" s="10"/>
      <c r="E45" s="10">
        <f t="shared" si="1"/>
        <v>83</v>
      </c>
      <c r="F45" s="23">
        <v>83.0</v>
      </c>
      <c r="G45" s="24"/>
      <c r="H45" s="10"/>
      <c r="I45" s="25">
        <v>0.045</v>
      </c>
      <c r="J45" s="10">
        <f t="shared" si="3"/>
        <v>3.735</v>
      </c>
      <c r="K45" s="10">
        <f t="shared" si="4"/>
        <v>79.265</v>
      </c>
    </row>
    <row r="46">
      <c r="G46" s="26"/>
    </row>
    <row r="47">
      <c r="G47" s="26"/>
    </row>
    <row r="48">
      <c r="G48" s="26"/>
    </row>
    <row r="49">
      <c r="G49" s="26"/>
    </row>
    <row r="50">
      <c r="G50" s="26"/>
    </row>
    <row r="51">
      <c r="G51" s="2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  <row r="1001">
      <c r="G1001" s="26"/>
    </row>
  </sheetData>
  <drawing r:id="rId1"/>
</worksheet>
</file>